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 Tracker - Market Demand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p&quot;"/>
    <numFmt numFmtId="165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sz val="10"/>
    </font>
    <font>
      <name val="Arial"/>
      <i val="1"/>
      <color rgb="00000000"/>
      <sz val="9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165" fontId="3" fillId="0" borderId="1" applyAlignment="1" pivotButton="0" quotePrefix="0" xfId="0">
      <alignment vertical="top" wrapText="1"/>
    </xf>
    <xf numFmtId="4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3" fillId="0" borderId="1" pivotButton="0" quotePrefix="0" xfId="0"/>
    <xf numFmtId="2" fontId="2" fillId="3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5" customWidth="1" min="4" max="4"/>
    <col width="16" customWidth="1" min="5" max="5"/>
    <col width="14" customWidth="1" min="6" max="6"/>
    <col width="14" customWidth="1" min="7" max="7"/>
    <col width="12" customWidth="1" min="8" max="8"/>
    <col width="16" customWidth="1" min="9" max="9"/>
    <col width="14" customWidth="1" min="10" max="10"/>
    <col width="14" customWidth="1" min="11" max="11"/>
    <col width="16" customWidth="1" min="12" max="12"/>
    <col width="18" customWidth="1" min="13" max="13"/>
    <col width="20" customWidth="1" min="14" max="14"/>
    <col width="40" customWidth="1" min="15" max="15"/>
    <col width="20" customWidth="1" min="16" max="16"/>
    <col width="10" customWidth="1" min="17" max="17"/>
    <col width="18" customWidth="1" min="18" max="18"/>
  </cols>
  <sheetData>
    <row r="1" ht="30" customHeight="1">
      <c r="A1" s="1" t="inlineStr">
        <is>
          <t>Rank</t>
        </is>
      </c>
      <c r="B1" s="1" t="inlineStr">
        <is>
          <t>Item</t>
        </is>
      </c>
      <c r="C1" s="1" t="inlineStr">
        <is>
          <t>Category</t>
        </is>
      </c>
      <c r="D1" s="1" t="inlineStr">
        <is>
          <t>Lowest Sell (plat)</t>
        </is>
      </c>
      <c r="E1" s="1" t="inlineStr">
        <is>
          <t>Avg Top5 Sell (plat)</t>
        </is>
      </c>
      <c r="F1" s="1" t="inlineStr">
        <is>
          <t>Buy Orders Count</t>
        </is>
      </c>
      <c r="G1" s="1" t="inlineStr">
        <is>
          <t>Sell Orders Count</t>
        </is>
      </c>
      <c r="H1" s="1" t="inlineStr">
        <is>
          <t>Volume 48h</t>
        </is>
      </c>
      <c r="I1" s="1" t="inlineStr">
        <is>
          <t>Volume 90d avg/day</t>
        </is>
      </c>
      <c r="J1" s="1" t="inlineStr">
        <is>
          <t>Sales Count</t>
        </is>
      </c>
      <c r="K1" s="1" t="inlineStr">
        <is>
          <t>Avg Sell Price</t>
        </is>
      </c>
      <c r="L1" s="1" t="inlineStr">
        <is>
          <t>Crafting Uses Count</t>
        </is>
      </c>
      <c r="M1" s="1" t="inlineStr">
        <is>
          <t>Market Demand Index</t>
        </is>
      </c>
      <c r="N1" s="1" t="inlineStr">
        <is>
          <t>Grind Efficiency (plat/min)</t>
        </is>
      </c>
      <c r="O1" s="1" t="inlineStr">
        <is>
          <t>Used In (Crafting)</t>
        </is>
      </c>
      <c r="P1" s="2" t="inlineStr">
        <is>
          <t>Wagi Market Demand Index</t>
        </is>
      </c>
      <c r="Q1" s="1" t="inlineStr">
        <is>
          <t>Acquisition Note</t>
        </is>
      </c>
      <c r="R1" s="1" t="inlineStr">
        <is>
          <t>Last Updated</t>
        </is>
      </c>
    </row>
    <row r="2">
      <c r="A2" s="3" t="n">
        <v>1</v>
      </c>
      <c r="B2" s="3" t="inlineStr">
        <is>
          <t>Arcane Hot Shot</t>
        </is>
      </c>
      <c r="C2" s="3" t="inlineStr">
        <is>
          <t>Arcanes</t>
        </is>
      </c>
      <c r="D2" s="4" t="n">
        <v>22</v>
      </c>
      <c r="E2" s="4" t="n">
        <v>23.4</v>
      </c>
      <c r="F2" s="3" t="n">
        <v>457</v>
      </c>
      <c r="G2" s="3" t="n">
        <v>92</v>
      </c>
      <c r="H2" s="3" t="n">
        <v>1299</v>
      </c>
      <c r="I2" s="3" t="n">
        <v>368.6</v>
      </c>
      <c r="J2" s="3" t="n">
        <v>509</v>
      </c>
      <c r="K2" s="4" t="n">
        <v>23.4</v>
      </c>
      <c r="L2" s="3" t="n">
        <v>0</v>
      </c>
      <c r="M2" s="5">
        <f>IF(MAX($J$2:$J$189)&lt;=0,0,LOG10(J2+1)/LOG10(MAX($J$2:$J$189)+1)*100)*$Q$2+IF(MAX($K$2:$K$189)&lt;=0,0,LOG10(K2+1)/LOG10(MAX($K$2:$K$189)+1)*100)*$Q$3+IF(MAX($F$2:$F$189)&lt;=0,0,LOG10(F2+1)/LOG10(MAX($F$2:$F$189)+1)*100)*$Q$4</f>
        <v/>
      </c>
      <c r="N2" s="6" t="n">
        <v>0.46</v>
      </c>
      <c r="O2" s="7" t="inlineStr">
        <is>
          <t>brak (surowiec końcowy / nie jest komponentem)</t>
        </is>
      </c>
      <c r="P2" s="8" t="inlineStr">
        <is>
          <t>Sales Velocity</t>
        </is>
      </c>
      <c r="Q2" s="9" t="n">
        <v>0.5</v>
      </c>
      <c r="R2" s="3" t="inlineStr">
        <is>
          <t>2026-07-26 14:33</t>
        </is>
      </c>
    </row>
    <row r="3">
      <c r="A3" s="3" t="n">
        <v>2</v>
      </c>
      <c r="B3" s="3" t="inlineStr">
        <is>
          <t>Arcane Velocity</t>
        </is>
      </c>
      <c r="C3" s="3" t="inlineStr">
        <is>
          <t>Arcanes</t>
        </is>
      </c>
      <c r="D3" s="4" t="n">
        <v>8</v>
      </c>
      <c r="E3" s="4" t="n">
        <v>9.199999999999999</v>
      </c>
      <c r="F3" s="3" t="n">
        <v>199</v>
      </c>
      <c r="G3" s="3" t="n">
        <v>48</v>
      </c>
      <c r="H3" s="3" t="n">
        <v>758</v>
      </c>
      <c r="I3" s="3" t="n">
        <v>167.81</v>
      </c>
      <c r="J3" s="3" t="n">
        <v>273</v>
      </c>
      <c r="K3" s="4" t="n">
        <v>9.199999999999999</v>
      </c>
      <c r="L3" s="3" t="n">
        <v>0</v>
      </c>
      <c r="M3" s="5">
        <f>IF(MAX($J$2:$J$189)&lt;=0,0,LOG10(J3+1)/LOG10(MAX($J$2:$J$189)+1)*100)*$Q$2+IF(MAX($K$2:$K$189)&lt;=0,0,LOG10(K3+1)/LOG10(MAX($K$2:$K$189)+1)*100)*$Q$3+IF(MAX($F$2:$F$189)&lt;=0,0,LOG10(F3+1)/LOG10(MAX($F$2:$F$189)+1)*100)*$Q$4</f>
        <v/>
      </c>
      <c r="N3" s="6" t="n">
        <v>0.29</v>
      </c>
      <c r="O3" s="7" t="inlineStr">
        <is>
          <t>brak (surowiec końcowy / nie jest komponentem)</t>
        </is>
      </c>
      <c r="P3" s="8" t="inlineStr">
        <is>
          <t>Avg Sell Price</t>
        </is>
      </c>
      <c r="Q3" s="9" t="n">
        <v>0.3</v>
      </c>
      <c r="R3" s="3" t="inlineStr">
        <is>
          <t>2026-07-26 14:33</t>
        </is>
      </c>
    </row>
    <row r="4">
      <c r="A4" s="3" t="n">
        <v>3</v>
      </c>
      <c r="B4" s="3" t="inlineStr">
        <is>
          <t>Arcane Sculptor</t>
        </is>
      </c>
      <c r="C4" s="3" t="inlineStr">
        <is>
          <t>Arcanes</t>
        </is>
      </c>
      <c r="D4" s="4" t="n">
        <v>7</v>
      </c>
      <c r="E4" s="4" t="n">
        <v>7.2</v>
      </c>
      <c r="F4" s="3" t="n">
        <v>152</v>
      </c>
      <c r="G4" s="3" t="n">
        <v>59</v>
      </c>
      <c r="H4" s="3" t="n">
        <v>1397</v>
      </c>
      <c r="I4" s="3" t="n">
        <v>353.79</v>
      </c>
      <c r="J4" s="3" t="n">
        <v>526</v>
      </c>
      <c r="K4" s="4" t="n">
        <v>7.2</v>
      </c>
      <c r="L4" s="3" t="n">
        <v>0</v>
      </c>
      <c r="M4" s="5">
        <f>IF(MAX($J$2:$J$189)&lt;=0,0,LOG10(J4+1)/LOG10(MAX($J$2:$J$189)+1)*100)*$Q$2+IF(MAX($K$2:$K$189)&lt;=0,0,LOG10(K4+1)/LOG10(MAX($K$2:$K$189)+1)*100)*$Q$3+IF(MAX($F$2:$F$189)&lt;=0,0,LOG10(F4+1)/LOG10(MAX($F$2:$F$189)+1)*100)*$Q$4</f>
        <v/>
      </c>
      <c r="N4" s="6" t="n">
        <v>0.26</v>
      </c>
      <c r="O4" s="7" t="inlineStr">
        <is>
          <t>brak (surowiec końcowy / nie jest komponentem)</t>
        </is>
      </c>
      <c r="P4" s="8" t="inlineStr">
        <is>
          <t>Buy Order Demand</t>
        </is>
      </c>
      <c r="Q4" s="9" t="n">
        <v>0.2</v>
      </c>
      <c r="R4" s="3" t="inlineStr">
        <is>
          <t>2026-07-26 14:33</t>
        </is>
      </c>
    </row>
    <row r="5">
      <c r="A5" s="3" t="n">
        <v>4</v>
      </c>
      <c r="B5" s="3" t="inlineStr">
        <is>
          <t>Arcane Reaper</t>
        </is>
      </c>
      <c r="C5" s="3" t="inlineStr">
        <is>
          <t>Arcanes</t>
        </is>
      </c>
      <c r="D5" s="4" t="n">
        <v>15</v>
      </c>
      <c r="E5" s="4" t="n">
        <v>16.4</v>
      </c>
      <c r="F5" s="3" t="n">
        <v>144</v>
      </c>
      <c r="G5" s="3" t="n">
        <v>32</v>
      </c>
      <c r="H5" s="3" t="n">
        <v>240</v>
      </c>
      <c r="I5" s="3" t="n">
        <v>67.48999999999999</v>
      </c>
      <c r="J5" s="3" t="n">
        <v>94</v>
      </c>
      <c r="K5" s="4" t="n">
        <v>16.4</v>
      </c>
      <c r="L5" s="3" t="n">
        <v>0</v>
      </c>
      <c r="M5" s="5">
        <f>IF(MAX($J$2:$J$189)&lt;=0,0,LOG10(J5+1)/LOG10(MAX($J$2:$J$189)+1)*100)*$Q$2+IF(MAX($K$2:$K$189)&lt;=0,0,LOG10(K5+1)/LOG10(MAX($K$2:$K$189)+1)*100)*$Q$3+IF(MAX($F$2:$F$189)&lt;=0,0,LOG10(F5+1)/LOG10(MAX($F$2:$F$189)+1)*100)*$Q$4</f>
        <v/>
      </c>
      <c r="N5" s="6" t="n">
        <v>0.78</v>
      </c>
      <c r="O5" s="7" t="inlineStr">
        <is>
          <t>brak (surowiec końcowy / nie jest komponentem)</t>
        </is>
      </c>
      <c r="P5" s="3" t="inlineStr">
        <is>
          <t>N/A (Overframe wyłączony w config.py)</t>
        </is>
      </c>
      <c r="Q5" s="3" t="inlineStr">
        <is>
          <t>Brak opisu w WFCD - sprawdź ręcznie: https://wiki.warframe.com/w/Arcane_Reaper</t>
        </is>
      </c>
      <c r="R5" s="3" t="inlineStr">
        <is>
          <t>2026-07-26 14:33</t>
        </is>
      </c>
    </row>
    <row r="6">
      <c r="A6" s="3" t="n">
        <v>5</v>
      </c>
      <c r="B6" s="3" t="inlineStr">
        <is>
          <t>Arcane Energize</t>
        </is>
      </c>
      <c r="C6" s="3" t="inlineStr">
        <is>
          <t>Arcanes</t>
        </is>
      </c>
      <c r="D6" s="4" t="n">
        <v>6</v>
      </c>
      <c r="E6" s="4" t="n">
        <v>6.8</v>
      </c>
      <c r="F6" s="3" t="n">
        <v>142</v>
      </c>
      <c r="G6" s="3" t="n">
        <v>102</v>
      </c>
      <c r="H6" s="3" t="n">
        <v>769</v>
      </c>
      <c r="I6" s="3" t="n">
        <v>205.16</v>
      </c>
      <c r="J6" s="3" t="n">
        <v>295</v>
      </c>
      <c r="K6" s="4" t="n">
        <v>6.8</v>
      </c>
      <c r="L6" s="3" t="n">
        <v>0</v>
      </c>
      <c r="M6" s="5">
        <f>IF(MAX($J$2:$J$189)&lt;=0,0,LOG10(J6+1)/LOG10(MAX($J$2:$J$189)+1)*100)*$Q$2+IF(MAX($K$2:$K$189)&lt;=0,0,LOG10(K6+1)/LOG10(MAX($K$2:$K$189)+1)*100)*$Q$3+IF(MAX($F$2:$F$189)&lt;=0,0,LOG10(F6+1)/LOG10(MAX($F$2:$F$189)+1)*100)*$Q$4</f>
        <v/>
      </c>
      <c r="N6" s="6" t="n">
        <v>0.06</v>
      </c>
      <c r="O6" s="7" t="inlineStr">
        <is>
          <t>brak (surowiec końcowy / nie jest komponentem)</t>
        </is>
      </c>
      <c r="P6" s="10" t="inlineStr">
        <is>
          <t>Suma wag (powinno = 1.00)</t>
        </is>
      </c>
      <c r="Q6" s="8">
        <f>SUM(Q2:Q4)</f>
        <v/>
      </c>
      <c r="R6" s="3" t="inlineStr">
        <is>
          <t>2026-07-26 14:33</t>
        </is>
      </c>
    </row>
    <row r="7">
      <c r="A7" s="3" t="n">
        <v>6</v>
      </c>
      <c r="B7" s="3" t="inlineStr">
        <is>
          <t>Primary Compression</t>
        </is>
      </c>
      <c r="C7" s="3" t="inlineStr">
        <is>
          <t>Arcanes</t>
        </is>
      </c>
      <c r="D7" s="4" t="n">
        <v>8</v>
      </c>
      <c r="E7" s="4" t="n">
        <v>8.6</v>
      </c>
      <c r="F7" s="3" t="n">
        <v>139</v>
      </c>
      <c r="G7" s="3" t="n">
        <v>38</v>
      </c>
      <c r="H7" s="3" t="n">
        <v>415</v>
      </c>
      <c r="I7" s="3" t="n">
        <v>92.05</v>
      </c>
      <c r="J7" s="3" t="n">
        <v>150</v>
      </c>
      <c r="K7" s="4" t="n">
        <v>8.6</v>
      </c>
      <c r="L7" s="3" t="n">
        <v>0</v>
      </c>
      <c r="M7" s="5">
        <f>IF(MAX($J$2:$J$189)&lt;=0,0,LOG10(J7+1)/LOG10(MAX($J$2:$J$189)+1)*100)*$Q$2+IF(MAX($K$2:$K$189)&lt;=0,0,LOG10(K7+1)/LOG10(MAX($K$2:$K$189)+1)*100)*$Q$3+IF(MAX($F$2:$F$189)&lt;=0,0,LOG10(F7+1)/LOG10(MAX($F$2:$F$189)+1)*100)*$Q$4</f>
        <v/>
      </c>
      <c r="N7" s="6" t="n">
        <v>0.31</v>
      </c>
      <c r="O7" s="7" t="inlineStr">
        <is>
          <t>brak (surowiec końcowy / nie jest komponentem)</t>
        </is>
      </c>
      <c r="P7" s="3" t="inlineStr">
        <is>
          <t>N/A (Overframe wyłączony w config.py)</t>
        </is>
      </c>
      <c r="Q7" s="3" t="inlineStr">
        <is>
          <t>Brak opisu w WFCD - sprawdź ręcznie: https://wiki.warframe.com/w/Primary_Compression</t>
        </is>
      </c>
      <c r="R7" s="3" t="inlineStr">
        <is>
          <t>2026-07-26 14:33</t>
        </is>
      </c>
    </row>
    <row r="8">
      <c r="A8" s="3" t="n">
        <v>7</v>
      </c>
      <c r="B8" s="3" t="inlineStr">
        <is>
          <t>Arcane Steadfast</t>
        </is>
      </c>
      <c r="C8" s="3" t="inlineStr">
        <is>
          <t>Arcanes</t>
        </is>
      </c>
      <c r="D8" s="4" t="n">
        <v>10</v>
      </c>
      <c r="E8" s="4" t="n">
        <v>12</v>
      </c>
      <c r="F8" s="3" t="n">
        <v>138</v>
      </c>
      <c r="G8" s="3" t="n">
        <v>53</v>
      </c>
      <c r="H8" s="3" t="n">
        <v>247</v>
      </c>
      <c r="I8" s="3" t="n">
        <v>76.3</v>
      </c>
      <c r="J8" s="3" t="n">
        <v>100</v>
      </c>
      <c r="K8" s="4" t="n">
        <v>12</v>
      </c>
      <c r="L8" s="3" t="n">
        <v>0</v>
      </c>
      <c r="M8" s="5">
        <f>IF(MAX($J$2:$J$189)&lt;=0,0,LOG10(J8+1)/LOG10(MAX($J$2:$J$189)+1)*100)*$Q$2+IF(MAX($K$2:$K$189)&lt;=0,0,LOG10(K8+1)/LOG10(MAX($K$2:$K$189)+1)*100)*$Q$3+IF(MAX($F$2:$F$189)&lt;=0,0,LOG10(F8+1)/LOG10(MAX($F$2:$F$189)+1)*100)*$Q$4</f>
        <v/>
      </c>
      <c r="N8" s="6" t="n">
        <v>0.11</v>
      </c>
      <c r="O8" s="7" t="inlineStr">
        <is>
          <t>brak (surowiec końcowy / nie jest komponentem)</t>
        </is>
      </c>
      <c r="P8" s="3" t="inlineStr">
        <is>
          <t>N/A (Overframe wyłączony w config.py)</t>
        </is>
      </c>
      <c r="Q8" s="3" t="inlineStr">
        <is>
          <t>Brak opisu w WFCD - sprawdź ręcznie: https://wiki.warframe.com/w/Arcane_Steadfast</t>
        </is>
      </c>
      <c r="R8" s="3" t="inlineStr">
        <is>
          <t>2026-07-26 14:33</t>
        </is>
      </c>
    </row>
    <row r="9">
      <c r="A9" s="3" t="n">
        <v>8</v>
      </c>
      <c r="B9" s="3" t="inlineStr">
        <is>
          <t>Arcane Aegis</t>
        </is>
      </c>
      <c r="C9" s="3" t="inlineStr">
        <is>
          <t>Arcanes</t>
        </is>
      </c>
      <c r="D9" s="4" t="n">
        <v>7</v>
      </c>
      <c r="E9" s="4" t="n">
        <v>7</v>
      </c>
      <c r="F9" s="3" t="n">
        <v>137</v>
      </c>
      <c r="G9" s="3" t="n">
        <v>69</v>
      </c>
      <c r="H9" s="3" t="n">
        <v>337</v>
      </c>
      <c r="I9" s="3" t="n">
        <v>142.53</v>
      </c>
      <c r="J9" s="3" t="n">
        <v>156</v>
      </c>
      <c r="K9" s="4" t="n">
        <v>7</v>
      </c>
      <c r="L9" s="3" t="n">
        <v>0</v>
      </c>
      <c r="M9" s="5">
        <f>IF(MAX($J$2:$J$189)&lt;=0,0,LOG10(J9+1)/LOG10(MAX($J$2:$J$189)+1)*100)*$Q$2+IF(MAX($K$2:$K$189)&lt;=0,0,LOG10(K9+1)/LOG10(MAX($K$2:$K$189)+1)*100)*$Q$3+IF(MAX($F$2:$F$189)&lt;=0,0,LOG10(F9+1)/LOG10(MAX($F$2:$F$189)+1)*100)*$Q$4</f>
        <v/>
      </c>
      <c r="N9" s="6" t="n">
        <v>0.06</v>
      </c>
      <c r="O9" s="7" t="inlineStr">
        <is>
          <t>brak (surowiec końcowy / nie jest komponentem)</t>
        </is>
      </c>
      <c r="P9" s="3" t="inlineStr">
        <is>
          <t>N/A (Overframe wyłączony w config.py)</t>
        </is>
      </c>
      <c r="Q9" s="3" t="inlineStr">
        <is>
          <t>Brak opisu w WFCD - sprawdź ręcznie: https://wiki.warframe.com/w/Arcane_Aegis</t>
        </is>
      </c>
      <c r="R9" s="3" t="inlineStr">
        <is>
          <t>2026-07-26 14:33</t>
        </is>
      </c>
    </row>
    <row r="10">
      <c r="A10" s="3" t="n">
        <v>9</v>
      </c>
      <c r="B10" s="3" t="inlineStr">
        <is>
          <t>Arcane Fury</t>
        </is>
      </c>
      <c r="C10" s="3" t="inlineStr">
        <is>
          <t>Arcanes</t>
        </is>
      </c>
      <c r="D10" s="4" t="n">
        <v>5</v>
      </c>
      <c r="E10" s="4" t="n">
        <v>6.6</v>
      </c>
      <c r="F10" s="3" t="n">
        <v>137</v>
      </c>
      <c r="G10" s="3" t="n">
        <v>55</v>
      </c>
      <c r="H10" s="3" t="n">
        <v>541</v>
      </c>
      <c r="I10" s="3" t="n">
        <v>145.3</v>
      </c>
      <c r="J10" s="3" t="n">
        <v>208</v>
      </c>
      <c r="K10" s="4" t="n">
        <v>6.6</v>
      </c>
      <c r="L10" s="3" t="n">
        <v>0</v>
      </c>
      <c r="M10" s="5">
        <f>IF(MAX($J$2:$J$189)&lt;=0,0,LOG10(J10+1)/LOG10(MAX($J$2:$J$189)+1)*100)*$Q$2+IF(MAX($K$2:$K$189)&lt;=0,0,LOG10(K10+1)/LOG10(MAX($K$2:$K$189)+1)*100)*$Q$3+IF(MAX($F$2:$F$189)&lt;=0,0,LOG10(F10+1)/LOG10(MAX($F$2:$F$189)+1)*100)*$Q$4</f>
        <v/>
      </c>
      <c r="N10" s="6" t="n">
        <v>0.13</v>
      </c>
      <c r="O10" s="7" t="inlineStr">
        <is>
          <t>brak (surowiec końcowy / nie jest komponentem)</t>
        </is>
      </c>
      <c r="P10" s="3" t="inlineStr">
        <is>
          <t>N/A (Overframe wyłączony w config.py)</t>
        </is>
      </c>
      <c r="Q10" s="3" t="inlineStr">
        <is>
          <t>Brak opisu w WFCD - sprawdź ręcznie: https://wiki.warframe.com/w/Arcane_Fury</t>
        </is>
      </c>
      <c r="R10" s="3" t="inlineStr">
        <is>
          <t>2026-07-26 14:33</t>
        </is>
      </c>
    </row>
    <row r="11">
      <c r="A11" s="3" t="n">
        <v>10</v>
      </c>
      <c r="B11" s="3" t="inlineStr">
        <is>
          <t>Shotgun Vendetta</t>
        </is>
      </c>
      <c r="C11" s="3" t="inlineStr">
        <is>
          <t>Arcanes</t>
        </is>
      </c>
      <c r="D11" s="4" t="n">
        <v>6</v>
      </c>
      <c r="E11" s="4" t="n">
        <v>7.4</v>
      </c>
      <c r="F11" s="3" t="n">
        <v>127</v>
      </c>
      <c r="G11" s="3" t="n">
        <v>28</v>
      </c>
      <c r="H11" s="3" t="n">
        <v>83</v>
      </c>
      <c r="I11" s="3" t="n">
        <v>46.46</v>
      </c>
      <c r="J11" s="3" t="n">
        <v>44</v>
      </c>
      <c r="K11" s="4" t="n">
        <v>7.4</v>
      </c>
      <c r="L11" s="3" t="n">
        <v>0</v>
      </c>
      <c r="M11" s="5">
        <f>IF(MAX($J$2:$J$189)&lt;=0,0,LOG10(J11+1)/LOG10(MAX($J$2:$J$189)+1)*100)*$Q$2+IF(MAX($K$2:$K$189)&lt;=0,0,LOG10(K11+1)/LOG10(MAX($K$2:$K$189)+1)*100)*$Q$3+IF(MAX($F$2:$F$189)&lt;=0,0,LOG10(F11+1)/LOG10(MAX($F$2:$F$189)+1)*100)*$Q$4</f>
        <v/>
      </c>
      <c r="N11" s="6" t="n">
        <v>0.08</v>
      </c>
      <c r="O11" s="7" t="inlineStr">
        <is>
          <t>brak (surowiec końcowy / nie jest komponentem)</t>
        </is>
      </c>
      <c r="P11" s="3" t="inlineStr">
        <is>
          <t>N/A (Overframe wyłączony w config.py)</t>
        </is>
      </c>
      <c r="Q11" s="3" t="inlineStr">
        <is>
          <t>Brak opisu w WFCD - sprawdź ręcznie: https://wiki.warframe.com/w/Shotgun_Vendetta</t>
        </is>
      </c>
      <c r="R11" s="3" t="inlineStr">
        <is>
          <t>2026-07-26 14:33</t>
        </is>
      </c>
    </row>
    <row r="12">
      <c r="A12" s="3" t="n">
        <v>11</v>
      </c>
      <c r="B12" s="3" t="inlineStr">
        <is>
          <t>Secondary Outburst</t>
        </is>
      </c>
      <c r="C12" s="3" t="inlineStr">
        <is>
          <t>Arcanes</t>
        </is>
      </c>
      <c r="D12" s="4" t="n">
        <v>7</v>
      </c>
      <c r="E12" s="4" t="n">
        <v>9.6</v>
      </c>
      <c r="F12" s="3" t="n">
        <v>126</v>
      </c>
      <c r="G12" s="3" t="n">
        <v>30</v>
      </c>
      <c r="H12" s="3" t="n">
        <v>172</v>
      </c>
      <c r="I12" s="3" t="n">
        <v>41.88</v>
      </c>
      <c r="J12" s="3" t="n">
        <v>64</v>
      </c>
      <c r="K12" s="4" t="n">
        <v>9.6</v>
      </c>
      <c r="L12" s="3" t="n">
        <v>0</v>
      </c>
      <c r="M12" s="5">
        <f>IF(MAX($J$2:$J$189)&lt;=0,0,LOG10(J12+1)/LOG10(MAX($J$2:$J$189)+1)*100)*$Q$2+IF(MAX($K$2:$K$189)&lt;=0,0,LOG10(K12+1)/LOG10(MAX($K$2:$K$189)+1)*100)*$Q$3+IF(MAX($F$2:$F$189)&lt;=0,0,LOG10(F12+1)/LOG10(MAX($F$2:$F$189)+1)*100)*$Q$4</f>
        <v/>
      </c>
      <c r="N12" s="6" t="n">
        <v>0.1</v>
      </c>
      <c r="O12" s="7" t="inlineStr">
        <is>
          <t>brak (surowiec końcowy / nie jest komponentem)</t>
        </is>
      </c>
      <c r="P12" s="3" t="inlineStr">
        <is>
          <t>N/A (Overframe wyłączony w config.py)</t>
        </is>
      </c>
      <c r="Q12" s="3" t="inlineStr">
        <is>
          <t>Brak opisu w WFCD - sprawdź ręcznie: https://wiki.warframe.com/w/Secondary_Outburst</t>
        </is>
      </c>
      <c r="R12" s="3" t="inlineStr">
        <is>
          <t>2026-07-26 14:33</t>
        </is>
      </c>
    </row>
    <row r="13">
      <c r="A13" s="3" t="n">
        <v>12</v>
      </c>
      <c r="B13" s="3" t="inlineStr">
        <is>
          <t>Secondary Fortifier</t>
        </is>
      </c>
      <c r="C13" s="3" t="inlineStr">
        <is>
          <t>Arcanes</t>
        </is>
      </c>
      <c r="D13" s="4" t="n">
        <v>3</v>
      </c>
      <c r="E13" s="4" t="n">
        <v>7.4</v>
      </c>
      <c r="F13" s="3" t="n">
        <v>126</v>
      </c>
      <c r="G13" s="3" t="n">
        <v>29</v>
      </c>
      <c r="H13" s="3" t="n">
        <v>262</v>
      </c>
      <c r="I13" s="3" t="n">
        <v>70.7</v>
      </c>
      <c r="J13" s="3" t="n">
        <v>101</v>
      </c>
      <c r="K13" s="4" t="n">
        <v>7.4</v>
      </c>
      <c r="L13" s="3" t="n">
        <v>0</v>
      </c>
      <c r="M13" s="5">
        <f>IF(MAX($J$2:$J$189)&lt;=0,0,LOG10(J13+1)/LOG10(MAX($J$2:$J$189)+1)*100)*$Q$2+IF(MAX($K$2:$K$189)&lt;=0,0,LOG10(K13+1)/LOG10(MAX($K$2:$K$189)+1)*100)*$Q$3+IF(MAX($F$2:$F$189)&lt;=0,0,LOG10(F13+1)/LOG10(MAX($F$2:$F$189)+1)*100)*$Q$4</f>
        <v/>
      </c>
      <c r="N13" s="6" t="n">
        <v>0.15</v>
      </c>
      <c r="O13" s="7" t="inlineStr">
        <is>
          <t>brak (surowiec końcowy / nie jest komponentem)</t>
        </is>
      </c>
      <c r="P13" s="3" t="inlineStr">
        <is>
          <t>N/A (Overframe wyłączony w config.py)</t>
        </is>
      </c>
      <c r="Q13" s="3" t="inlineStr">
        <is>
          <t>Brak opisu w WFCD - sprawdź ręcznie: https://wiki.warframe.com/w/Secondary_Fortifier</t>
        </is>
      </c>
      <c r="R13" s="3" t="inlineStr">
        <is>
          <t>2026-07-26 14:33</t>
        </is>
      </c>
    </row>
    <row r="14">
      <c r="A14" s="3" t="n">
        <v>13</v>
      </c>
      <c r="B14" s="3" t="inlineStr">
        <is>
          <t>Arcane Precision</t>
        </is>
      </c>
      <c r="C14" s="3" t="inlineStr">
        <is>
          <t>Arcanes</t>
        </is>
      </c>
      <c r="D14" s="4" t="n">
        <v>6</v>
      </c>
      <c r="E14" s="4" t="n">
        <v>7.6</v>
      </c>
      <c r="F14" s="3" t="n">
        <v>123</v>
      </c>
      <c r="G14" s="3" t="n">
        <v>29</v>
      </c>
      <c r="H14" s="3" t="n">
        <v>212</v>
      </c>
      <c r="I14" s="3" t="n">
        <v>65.86</v>
      </c>
      <c r="J14" s="3" t="n">
        <v>86</v>
      </c>
      <c r="K14" s="4" t="n">
        <v>7.6</v>
      </c>
      <c r="L14" s="3" t="n">
        <v>0</v>
      </c>
      <c r="M14" s="5">
        <f>IF(MAX($J$2:$J$189)&lt;=0,0,LOG10(J14+1)/LOG10(MAX($J$2:$J$189)+1)*100)*$Q$2+IF(MAX($K$2:$K$189)&lt;=0,0,LOG10(K14+1)/LOG10(MAX($K$2:$K$189)+1)*100)*$Q$3+IF(MAX($F$2:$F$189)&lt;=0,0,LOG10(F14+1)/LOG10(MAX($F$2:$F$189)+1)*100)*$Q$4</f>
        <v/>
      </c>
      <c r="N14" s="6" t="n">
        <v>0.08</v>
      </c>
      <c r="O14" s="7" t="inlineStr">
        <is>
          <t>brak (surowiec końcowy / nie jest komponentem)</t>
        </is>
      </c>
      <c r="P14" s="3" t="inlineStr">
        <is>
          <t>N/A (Overframe wyłączony w config.py)</t>
        </is>
      </c>
      <c r="Q14" s="3" t="inlineStr">
        <is>
          <t>Brak opisu w WFCD - sprawdź ręcznie: https://wiki.warframe.com/w/Arcane_Precision</t>
        </is>
      </c>
      <c r="R14" s="3" t="inlineStr">
        <is>
          <t>2026-07-26 14:33</t>
        </is>
      </c>
    </row>
    <row r="15">
      <c r="A15" s="3" t="n">
        <v>14</v>
      </c>
      <c r="B15" s="3" t="inlineStr">
        <is>
          <t>Arcane Arachne</t>
        </is>
      </c>
      <c r="C15" s="3" t="inlineStr">
        <is>
          <t>Arcanes</t>
        </is>
      </c>
      <c r="D15" s="4" t="n">
        <v>5</v>
      </c>
      <c r="E15" s="4" t="n">
        <v>20.4</v>
      </c>
      <c r="F15" s="3" t="n">
        <v>120</v>
      </c>
      <c r="G15" s="3" t="n">
        <v>29</v>
      </c>
      <c r="H15" s="3" t="n">
        <v>205</v>
      </c>
      <c r="I15" s="3" t="n">
        <v>44.75</v>
      </c>
      <c r="J15" s="3" t="n">
        <v>74</v>
      </c>
      <c r="K15" s="4" t="n">
        <v>20.4</v>
      </c>
      <c r="L15" s="3" t="n">
        <v>0</v>
      </c>
      <c r="M15" s="5">
        <f>IF(MAX($J$2:$J$189)&lt;=0,0,LOG10(J15+1)/LOG10(MAX($J$2:$J$189)+1)*100)*$Q$2+IF(MAX($K$2:$K$189)&lt;=0,0,LOG10(K15+1)/LOG10(MAX($K$2:$K$189)+1)*100)*$Q$3+IF(MAX($F$2:$F$189)&lt;=0,0,LOG10(F15+1)/LOG10(MAX($F$2:$F$189)+1)*100)*$Q$4</f>
        <v/>
      </c>
      <c r="N15" s="6" t="n">
        <v>0.4</v>
      </c>
      <c r="O15" s="7" t="inlineStr">
        <is>
          <t>brak (surowiec końcowy / nie jest komponentem)</t>
        </is>
      </c>
      <c r="P15" s="3" t="inlineStr">
        <is>
          <t>N/A (Overframe wyłączony w config.py)</t>
        </is>
      </c>
      <c r="Q15" s="3" t="inlineStr">
        <is>
          <t>Brak opisu w WFCD - sprawdź ręcznie: https://wiki.warframe.com/w/Arcane_Arachne</t>
        </is>
      </c>
      <c r="R15" s="3" t="inlineStr">
        <is>
          <t>2026-07-26 14:33</t>
        </is>
      </c>
    </row>
    <row r="16">
      <c r="A16" s="3" t="n">
        <v>15</v>
      </c>
      <c r="B16" s="3" t="inlineStr">
        <is>
          <t>Melee Duplicate</t>
        </is>
      </c>
      <c r="C16" s="3" t="inlineStr">
        <is>
          <t>Arcanes</t>
        </is>
      </c>
      <c r="D16" s="4" t="n">
        <v>7</v>
      </c>
      <c r="E16" s="4" t="n">
        <v>7.8</v>
      </c>
      <c r="F16" s="3" t="n">
        <v>113</v>
      </c>
      <c r="G16" s="3" t="n">
        <v>59</v>
      </c>
      <c r="H16" s="3" t="n">
        <v>411</v>
      </c>
      <c r="I16" s="3" t="n">
        <v>101.48</v>
      </c>
      <c r="J16" s="3" t="n">
        <v>153</v>
      </c>
      <c r="K16" s="4" t="n">
        <v>7.8</v>
      </c>
      <c r="L16" s="3" t="n">
        <v>0</v>
      </c>
      <c r="M16" s="5">
        <f>IF(MAX($J$2:$J$189)&lt;=0,0,LOG10(J16+1)/LOG10(MAX($J$2:$J$189)+1)*100)*$Q$2+IF(MAX($K$2:$K$189)&lt;=0,0,LOG10(K16+1)/LOG10(MAX($K$2:$K$189)+1)*100)*$Q$3+IF(MAX($F$2:$F$189)&lt;=0,0,LOG10(F16+1)/LOG10(MAX($F$2:$F$189)+1)*100)*$Q$4</f>
        <v/>
      </c>
      <c r="N16" s="6" t="n">
        <v>0.28</v>
      </c>
      <c r="O16" s="7" t="inlineStr">
        <is>
          <t>brak (surowiec końcowy / nie jest komponentem)</t>
        </is>
      </c>
      <c r="P16" s="3" t="inlineStr">
        <is>
          <t>N/A (Overframe wyłączony w config.py)</t>
        </is>
      </c>
      <c r="Q16" s="3" t="inlineStr">
        <is>
          <t>Brak opisu w WFCD - sprawdź ręcznie: https://wiki.warframe.com/w/Melee_Duplicate</t>
        </is>
      </c>
      <c r="R16" s="3" t="inlineStr">
        <is>
          <t>2026-07-26 14:33</t>
        </is>
      </c>
    </row>
    <row r="17">
      <c r="A17" s="3" t="n">
        <v>16</v>
      </c>
      <c r="B17" s="3" t="inlineStr">
        <is>
          <t>Arcane Battery</t>
        </is>
      </c>
      <c r="C17" s="3" t="inlineStr">
        <is>
          <t>Arcanes</t>
        </is>
      </c>
      <c r="D17" s="4" t="n">
        <v>4</v>
      </c>
      <c r="E17" s="4" t="n">
        <v>4</v>
      </c>
      <c r="F17" s="3" t="n">
        <v>108</v>
      </c>
      <c r="G17" s="3" t="n">
        <v>46</v>
      </c>
      <c r="H17" s="3" t="n">
        <v>349</v>
      </c>
      <c r="I17" s="3" t="n">
        <v>105.84</v>
      </c>
      <c r="J17" s="3" t="n">
        <v>140</v>
      </c>
      <c r="K17" s="4" t="n">
        <v>4</v>
      </c>
      <c r="L17" s="3" t="n">
        <v>0</v>
      </c>
      <c r="M17" s="5">
        <f>IF(MAX($J$2:$J$189)&lt;=0,0,LOG10(J17+1)/LOG10(MAX($J$2:$J$189)+1)*100)*$Q$2+IF(MAX($K$2:$K$189)&lt;=0,0,LOG10(K17+1)/LOG10(MAX($K$2:$K$189)+1)*100)*$Q$3+IF(MAX($F$2:$F$189)&lt;=0,0,LOG10(F17+1)/LOG10(MAX($F$2:$F$189)+1)*100)*$Q$4</f>
        <v/>
      </c>
      <c r="N17" s="6" t="n">
        <v>0.08</v>
      </c>
      <c r="O17" s="7" t="inlineStr">
        <is>
          <t>brak (surowiec końcowy / nie jest komponentem)</t>
        </is>
      </c>
      <c r="P17" s="3" t="inlineStr">
        <is>
          <t>N/A (Overframe wyłączony w config.py)</t>
        </is>
      </c>
      <c r="Q17" s="3" t="inlineStr">
        <is>
          <t>Brak opisu w WFCD - sprawdź ręcznie: https://wiki.warframe.com/w/Arcane_Battery</t>
        </is>
      </c>
      <c r="R17" s="3" t="inlineStr">
        <is>
          <t>2026-07-26 14:33</t>
        </is>
      </c>
    </row>
    <row r="18">
      <c r="A18" s="3" t="n">
        <v>17</v>
      </c>
      <c r="B18" s="3" t="inlineStr">
        <is>
          <t>Melee Afflictions</t>
        </is>
      </c>
      <c r="C18" s="3" t="inlineStr">
        <is>
          <t>Arcanes</t>
        </is>
      </c>
      <c r="D18" s="4" t="n">
        <v>4</v>
      </c>
      <c r="E18" s="4" t="n">
        <v>24.6</v>
      </c>
      <c r="F18" s="3" t="n">
        <v>106</v>
      </c>
      <c r="G18" s="3" t="n">
        <v>27</v>
      </c>
      <c r="H18" s="3" t="n">
        <v>165</v>
      </c>
      <c r="I18" s="3" t="n">
        <v>54.94</v>
      </c>
      <c r="J18" s="3" t="n">
        <v>69</v>
      </c>
      <c r="K18" s="4" t="n">
        <v>24.6</v>
      </c>
      <c r="L18" s="3" t="n">
        <v>0</v>
      </c>
      <c r="M18" s="5">
        <f>IF(MAX($J$2:$J$189)&lt;=0,0,LOG10(J18+1)/LOG10(MAX($J$2:$J$189)+1)*100)*$Q$2+IF(MAX($K$2:$K$189)&lt;=0,0,LOG10(K18+1)/LOG10(MAX($K$2:$K$189)+1)*100)*$Q$3+IF(MAX($F$2:$F$189)&lt;=0,0,LOG10(F18+1)/LOG10(MAX($F$2:$F$189)+1)*100)*$Q$4</f>
        <v/>
      </c>
      <c r="N18" s="6" t="n">
        <v>0.49</v>
      </c>
      <c r="O18" s="7" t="inlineStr">
        <is>
          <t>brak (surowiec końcowy / nie jest komponentem)</t>
        </is>
      </c>
      <c r="P18" s="3" t="inlineStr">
        <is>
          <t>N/A (Overframe wyłączony w config.py)</t>
        </is>
      </c>
      <c r="Q18" s="3" t="inlineStr">
        <is>
          <t>Brak opisu w WFCD - sprawdź ręcznie: https://wiki.warframe.com/w/Melee_Afflictions</t>
        </is>
      </c>
      <c r="R18" s="3" t="inlineStr">
        <is>
          <t>2026-07-26 14:33</t>
        </is>
      </c>
    </row>
    <row r="19">
      <c r="A19" s="3" t="n">
        <v>18</v>
      </c>
      <c r="B19" s="3" t="inlineStr">
        <is>
          <t>Magus Melt</t>
        </is>
      </c>
      <c r="C19" s="3" t="inlineStr">
        <is>
          <t>Arcanes</t>
        </is>
      </c>
      <c r="D19" s="4" t="n">
        <v>5</v>
      </c>
      <c r="E19" s="4" t="n">
        <v>5.8</v>
      </c>
      <c r="F19" s="3" t="n">
        <v>99</v>
      </c>
      <c r="G19" s="3" t="n">
        <v>40</v>
      </c>
      <c r="H19" s="3" t="n">
        <v>181</v>
      </c>
      <c r="I19" s="3" t="n">
        <v>33.1</v>
      </c>
      <c r="J19" s="3" t="n">
        <v>62</v>
      </c>
      <c r="K19" s="4" t="n">
        <v>5.8</v>
      </c>
      <c r="L19" s="3" t="n">
        <v>0</v>
      </c>
      <c r="M19" s="5">
        <f>IF(MAX($J$2:$J$189)&lt;=0,0,LOG10(J19+1)/LOG10(MAX($J$2:$J$189)+1)*100)*$Q$2+IF(MAX($K$2:$K$189)&lt;=0,0,LOG10(K19+1)/LOG10(MAX($K$2:$K$189)+1)*100)*$Q$3+IF(MAX($F$2:$F$189)&lt;=0,0,LOG10(F19+1)/LOG10(MAX($F$2:$F$189)+1)*100)*$Q$4</f>
        <v/>
      </c>
      <c r="N19" s="6" t="n">
        <v>0.83</v>
      </c>
      <c r="O19" s="7" t="inlineStr">
        <is>
          <t>brak (surowiec końcowy / nie jest komponentem)</t>
        </is>
      </c>
      <c r="P19" s="3" t="inlineStr">
        <is>
          <t>N/A (Overframe wyłączony w config.py)</t>
        </is>
      </c>
      <c r="Q19" s="3" t="inlineStr">
        <is>
          <t>Brak opisu w WFCD - sprawdź ręcznie: https://wiki.warframe.com/w/Magus_Melt</t>
        </is>
      </c>
      <c r="R19" s="3" t="inlineStr">
        <is>
          <t>2026-07-26 14:33</t>
        </is>
      </c>
    </row>
    <row r="20">
      <c r="A20" s="3" t="n">
        <v>19</v>
      </c>
      <c r="B20" s="3" t="inlineStr">
        <is>
          <t>Magus Elevate</t>
        </is>
      </c>
      <c r="C20" s="3" t="inlineStr">
        <is>
          <t>Arcanes</t>
        </is>
      </c>
      <c r="D20" s="4" t="n">
        <v>4</v>
      </c>
      <c r="E20" s="4" t="n">
        <v>9.199999999999999</v>
      </c>
      <c r="F20" s="3" t="n">
        <v>98</v>
      </c>
      <c r="G20" s="3" t="n">
        <v>26</v>
      </c>
      <c r="H20" s="3" t="n">
        <v>88</v>
      </c>
      <c r="I20" s="3" t="n">
        <v>14.06</v>
      </c>
      <c r="J20" s="3" t="n">
        <v>29</v>
      </c>
      <c r="K20" s="4" t="n">
        <v>9.199999999999999</v>
      </c>
      <c r="L20" s="3" t="n">
        <v>0</v>
      </c>
      <c r="M20" s="5">
        <f>IF(MAX($J$2:$J$189)&lt;=0,0,LOG10(J20+1)/LOG10(MAX($J$2:$J$189)+1)*100)*$Q$2+IF(MAX($K$2:$K$189)&lt;=0,0,LOG10(K20+1)/LOG10(MAX($K$2:$K$189)+1)*100)*$Q$3+IF(MAX($F$2:$F$189)&lt;=0,0,LOG10(F20+1)/LOG10(MAX($F$2:$F$189)+1)*100)*$Q$4</f>
        <v/>
      </c>
      <c r="N20" s="6" t="n">
        <v>1.31</v>
      </c>
      <c r="O20" s="7" t="inlineStr">
        <is>
          <t>brak (surowiec końcowy / nie jest komponentem)</t>
        </is>
      </c>
      <c r="P20" s="3" t="inlineStr">
        <is>
          <t>N/A (Overframe wyłączony w config.py)</t>
        </is>
      </c>
      <c r="Q20" s="3" t="inlineStr">
        <is>
          <t>Brak opisu w WFCD - sprawdź ręcznie: https://wiki.warframe.com/w/Magus_Elevate</t>
        </is>
      </c>
      <c r="R20" s="3" t="inlineStr">
        <is>
          <t>2026-07-26 14:33</t>
        </is>
      </c>
    </row>
    <row r="21">
      <c r="A21" s="3" t="n">
        <v>20</v>
      </c>
      <c r="B21" s="3" t="inlineStr">
        <is>
          <t>Arcane Ice Storm</t>
        </is>
      </c>
      <c r="C21" s="3" t="inlineStr">
        <is>
          <t>Arcanes</t>
        </is>
      </c>
      <c r="D21" s="4" t="n">
        <v>4</v>
      </c>
      <c r="E21" s="4" t="n">
        <v>4</v>
      </c>
      <c r="F21" s="3" t="n">
        <v>95</v>
      </c>
      <c r="G21" s="3" t="n">
        <v>43</v>
      </c>
      <c r="H21" s="3" t="n">
        <v>216</v>
      </c>
      <c r="I21" s="3" t="n">
        <v>66.33</v>
      </c>
      <c r="J21" s="3" t="n">
        <v>87</v>
      </c>
      <c r="K21" s="4" t="n">
        <v>4</v>
      </c>
      <c r="L21" s="3" t="n">
        <v>0</v>
      </c>
      <c r="M21" s="5">
        <f>IF(MAX($J$2:$J$189)&lt;=0,0,LOG10(J21+1)/LOG10(MAX($J$2:$J$189)+1)*100)*$Q$2+IF(MAX($K$2:$K$189)&lt;=0,0,LOG10(K21+1)/LOG10(MAX($K$2:$K$189)+1)*100)*$Q$3+IF(MAX($F$2:$F$189)&lt;=0,0,LOG10(F21+1)/LOG10(MAX($F$2:$F$189)+1)*100)*$Q$4</f>
        <v/>
      </c>
      <c r="N21" s="6" t="n">
        <v>0.08</v>
      </c>
      <c r="O21" s="7" t="inlineStr">
        <is>
          <t>brak (surowiec końcowy / nie jest komponentem)</t>
        </is>
      </c>
      <c r="P21" s="3" t="inlineStr">
        <is>
          <t>N/A (Overframe wyłączony w config.py)</t>
        </is>
      </c>
      <c r="Q21" s="3" t="inlineStr">
        <is>
          <t>Brak opisu w WFCD - sprawdź ręcznie: https://wiki.warframe.com/w/Arcane_Ice_Storm</t>
        </is>
      </c>
      <c r="R21" s="3" t="inlineStr">
        <is>
          <t>2026-07-26 14:33</t>
        </is>
      </c>
    </row>
    <row r="22">
      <c r="A22" s="3" t="n">
        <v>21</v>
      </c>
      <c r="B22" s="3" t="inlineStr">
        <is>
          <t>Arcane Avenger</t>
        </is>
      </c>
      <c r="C22" s="3" t="inlineStr">
        <is>
          <t>Arcanes</t>
        </is>
      </c>
      <c r="D22" s="4" t="n">
        <v>4</v>
      </c>
      <c r="E22" s="4" t="n">
        <v>4.8</v>
      </c>
      <c r="F22" s="3" t="n">
        <v>94</v>
      </c>
      <c r="G22" s="3" t="n">
        <v>60</v>
      </c>
      <c r="H22" s="3" t="n">
        <v>342</v>
      </c>
      <c r="I22" s="3" t="n">
        <v>102.81</v>
      </c>
      <c r="J22" s="3" t="n">
        <v>137</v>
      </c>
      <c r="K22" s="4" t="n">
        <v>4.8</v>
      </c>
      <c r="L22" s="3" t="n">
        <v>0</v>
      </c>
      <c r="M22" s="5">
        <f>IF(MAX($J$2:$J$189)&lt;=0,0,LOG10(J22+1)/LOG10(MAX($J$2:$J$189)+1)*100)*$Q$2+IF(MAX($K$2:$K$189)&lt;=0,0,LOG10(K22+1)/LOG10(MAX($K$2:$K$189)+1)*100)*$Q$3+IF(MAX($F$2:$F$189)&lt;=0,0,LOG10(F22+1)/LOG10(MAX($F$2:$F$189)+1)*100)*$Q$4</f>
        <v/>
      </c>
      <c r="N22" s="6" t="n">
        <v>0.08</v>
      </c>
      <c r="O22" s="7" t="inlineStr">
        <is>
          <t>brak (surowiec końcowy / nie jest komponentem)</t>
        </is>
      </c>
      <c r="P22" s="3" t="inlineStr">
        <is>
          <t>N/A (Overframe wyłączony w config.py)</t>
        </is>
      </c>
      <c r="Q22" s="3" t="inlineStr">
        <is>
          <t>Brak opisu w WFCD - sprawdź ręcznie: https://wiki.warframe.com/w/Arcane_Avenger</t>
        </is>
      </c>
      <c r="R22" s="3" t="inlineStr">
        <is>
          <t>2026-07-26 14:33</t>
        </is>
      </c>
    </row>
    <row r="23">
      <c r="A23" s="3" t="n">
        <v>22</v>
      </c>
      <c r="B23" s="3" t="inlineStr">
        <is>
          <t>Arcane Guardian</t>
        </is>
      </c>
      <c r="C23" s="3" t="inlineStr">
        <is>
          <t>Arcanes</t>
        </is>
      </c>
      <c r="D23" s="4" t="n">
        <v>2</v>
      </c>
      <c r="E23" s="4" t="n">
        <v>3.2</v>
      </c>
      <c r="F23" s="3" t="n">
        <v>94</v>
      </c>
      <c r="G23" s="3" t="n">
        <v>52</v>
      </c>
      <c r="H23" s="3" t="n">
        <v>206</v>
      </c>
      <c r="I23" s="3" t="n">
        <v>39.14</v>
      </c>
      <c r="J23" s="3" t="n">
        <v>71</v>
      </c>
      <c r="K23" s="4" t="n">
        <v>3.2</v>
      </c>
      <c r="L23" s="3" t="n">
        <v>0</v>
      </c>
      <c r="M23" s="5">
        <f>IF(MAX($J$2:$J$189)&lt;=0,0,LOG10(J23+1)/LOG10(MAX($J$2:$J$189)+1)*100)*$Q$2+IF(MAX($K$2:$K$189)&lt;=0,0,LOG10(K23+1)/LOG10(MAX($K$2:$K$189)+1)*100)*$Q$3+IF(MAX($F$2:$F$189)&lt;=0,0,LOG10(F23+1)/LOG10(MAX($F$2:$F$189)+1)*100)*$Q$4</f>
        <v/>
      </c>
      <c r="N23" s="6" t="n">
        <v>0.07000000000000001</v>
      </c>
      <c r="O23" s="7" t="inlineStr">
        <is>
          <t>brak (surowiec końcowy / nie jest komponentem)</t>
        </is>
      </c>
      <c r="P23" s="3" t="inlineStr">
        <is>
          <t>N/A (Overframe wyłączony w config.py)</t>
        </is>
      </c>
      <c r="Q23" s="3" t="inlineStr">
        <is>
          <t>Brak opisu w WFCD - sprawdź ręcznie: https://wiki.warframe.com/w/Arcane_Guardian</t>
        </is>
      </c>
      <c r="R23" s="3" t="inlineStr">
        <is>
          <t>2026-07-26 14:33</t>
        </is>
      </c>
    </row>
    <row r="24">
      <c r="A24" s="3" t="n">
        <v>23</v>
      </c>
      <c r="B24" s="3" t="inlineStr">
        <is>
          <t>Melee Animosity</t>
        </is>
      </c>
      <c r="C24" s="3" t="inlineStr">
        <is>
          <t>Arcanes</t>
        </is>
      </c>
      <c r="D24" s="4" t="n">
        <v>4</v>
      </c>
      <c r="E24" s="4" t="n">
        <v>4</v>
      </c>
      <c r="F24" s="3" t="n">
        <v>90</v>
      </c>
      <c r="G24" s="3" t="n">
        <v>30</v>
      </c>
      <c r="H24" s="3" t="n">
        <v>146</v>
      </c>
      <c r="I24" s="3" t="n">
        <v>27.1</v>
      </c>
      <c r="J24" s="3" t="n">
        <v>50</v>
      </c>
      <c r="K24" s="4" t="n">
        <v>4</v>
      </c>
      <c r="L24" s="3" t="n">
        <v>0</v>
      </c>
      <c r="M24" s="5">
        <f>IF(MAX($J$2:$J$189)&lt;=0,0,LOG10(J24+1)/LOG10(MAX($J$2:$J$189)+1)*100)*$Q$2+IF(MAX($K$2:$K$189)&lt;=0,0,LOG10(K24+1)/LOG10(MAX($K$2:$K$189)+1)*100)*$Q$3+IF(MAX($F$2:$F$189)&lt;=0,0,LOG10(F24+1)/LOG10(MAX($F$2:$F$189)+1)*100)*$Q$4</f>
        <v/>
      </c>
      <c r="N24" s="6" t="n">
        <v>0.04</v>
      </c>
      <c r="O24" s="7" t="inlineStr">
        <is>
          <t>brak (surowiec końcowy / nie jest komponentem)</t>
        </is>
      </c>
      <c r="P24" s="3" t="inlineStr">
        <is>
          <t>N/A (Overframe wyłączony w config.py)</t>
        </is>
      </c>
      <c r="Q24" s="3" t="inlineStr">
        <is>
          <t>Brak opisu w WFCD - sprawdź ręcznie: https://wiki.warframe.com/w/Melee_Animosity</t>
        </is>
      </c>
      <c r="R24" s="3" t="inlineStr">
        <is>
          <t>2026-07-26 14:33</t>
        </is>
      </c>
    </row>
    <row r="25">
      <c r="A25" s="3" t="n">
        <v>24</v>
      </c>
      <c r="B25" s="3" t="inlineStr">
        <is>
          <t>Melee Influence</t>
        </is>
      </c>
      <c r="C25" s="3" t="inlineStr">
        <is>
          <t>Arcanes</t>
        </is>
      </c>
      <c r="D25" s="4" t="n">
        <v>4</v>
      </c>
      <c r="E25" s="4" t="n">
        <v>4</v>
      </c>
      <c r="F25" s="3" t="n">
        <v>86</v>
      </c>
      <c r="G25" s="3" t="n">
        <v>102</v>
      </c>
      <c r="H25" s="3" t="n">
        <v>642</v>
      </c>
      <c r="I25" s="3" t="n">
        <v>216.58</v>
      </c>
      <c r="J25" s="3" t="n">
        <v>269</v>
      </c>
      <c r="K25" s="4" t="n">
        <v>4</v>
      </c>
      <c r="L25" s="3" t="n">
        <v>0</v>
      </c>
      <c r="M25" s="5">
        <f>IF(MAX($J$2:$J$189)&lt;=0,0,LOG10(J25+1)/LOG10(MAX($J$2:$J$189)+1)*100)*$Q$2+IF(MAX($K$2:$K$189)&lt;=0,0,LOG10(K25+1)/LOG10(MAX($K$2:$K$189)+1)*100)*$Q$3+IF(MAX($F$2:$F$189)&lt;=0,0,LOG10(F25+1)/LOG10(MAX($F$2:$F$189)+1)*100)*$Q$4</f>
        <v/>
      </c>
      <c r="N25" s="6" t="n">
        <v>0.04</v>
      </c>
      <c r="O25" s="7" t="inlineStr">
        <is>
          <t>brak (surowiec końcowy / nie jest komponentem)</t>
        </is>
      </c>
      <c r="P25" s="3" t="inlineStr">
        <is>
          <t>N/A (Overframe wyłączony w config.py)</t>
        </is>
      </c>
      <c r="Q25" s="3" t="inlineStr">
        <is>
          <t>Brak opisu w WFCD - sprawdź ręcznie: https://wiki.warframe.com/w/Melee_Influence</t>
        </is>
      </c>
      <c r="R25" s="3" t="inlineStr">
        <is>
          <t>2026-07-26 14:33</t>
        </is>
      </c>
    </row>
    <row r="26">
      <c r="A26" s="3" t="n">
        <v>25</v>
      </c>
      <c r="B26" s="3" t="inlineStr">
        <is>
          <t>Molt Augmented</t>
        </is>
      </c>
      <c r="C26" s="3" t="inlineStr">
        <is>
          <t>Arcanes</t>
        </is>
      </c>
      <c r="D26" s="4" t="n">
        <v>3</v>
      </c>
      <c r="E26" s="4" t="n">
        <v>3</v>
      </c>
      <c r="F26" s="3" t="n">
        <v>85</v>
      </c>
      <c r="G26" s="3" t="n">
        <v>116</v>
      </c>
      <c r="H26" s="3" t="n">
        <v>1527</v>
      </c>
      <c r="I26" s="3" t="n">
        <v>320.44</v>
      </c>
      <c r="J26" s="3" t="n">
        <v>542</v>
      </c>
      <c r="K26" s="4" t="n">
        <v>3</v>
      </c>
      <c r="L26" s="3" t="n">
        <v>0</v>
      </c>
      <c r="M26" s="5">
        <f>IF(MAX($J$2:$J$189)&lt;=0,0,LOG10(J26+1)/LOG10(MAX($J$2:$J$189)+1)*100)*$Q$2+IF(MAX($K$2:$K$189)&lt;=0,0,LOG10(K26+1)/LOG10(MAX($K$2:$K$189)+1)*100)*$Q$3+IF(MAX($F$2:$F$189)&lt;=0,0,LOG10(F26+1)/LOG10(MAX($F$2:$F$189)+1)*100)*$Q$4</f>
        <v/>
      </c>
      <c r="N26" s="6" t="n">
        <v>0.43</v>
      </c>
      <c r="O26" s="7" t="inlineStr">
        <is>
          <t>brak (surowiec końcowy / nie jest komponentem)</t>
        </is>
      </c>
      <c r="P26" s="3" t="inlineStr">
        <is>
          <t>N/A (Overframe wyłączony w config.py)</t>
        </is>
      </c>
      <c r="Q26" s="3" t="inlineStr">
        <is>
          <t>Brak opisu w WFCD - sprawdź ręcznie: https://wiki.warframe.com/w/Molt_Augmented</t>
        </is>
      </c>
      <c r="R26" s="3" t="inlineStr">
        <is>
          <t>2026-07-26 14:33</t>
        </is>
      </c>
    </row>
    <row r="27">
      <c r="A27" s="3" t="n">
        <v>26</v>
      </c>
      <c r="B27" s="3" t="inlineStr">
        <is>
          <t>Melee Vortex</t>
        </is>
      </c>
      <c r="C27" s="3" t="inlineStr">
        <is>
          <t>Arcanes</t>
        </is>
      </c>
      <c r="D27" s="4" t="n">
        <v>4</v>
      </c>
      <c r="E27" s="4" t="n">
        <v>4</v>
      </c>
      <c r="F27" s="3" t="n">
        <v>84</v>
      </c>
      <c r="G27" s="3" t="n">
        <v>35</v>
      </c>
      <c r="H27" s="3" t="n">
        <v>93</v>
      </c>
      <c r="I27" s="3" t="n">
        <v>26.16</v>
      </c>
      <c r="J27" s="3" t="n">
        <v>36</v>
      </c>
      <c r="K27" s="4" t="n">
        <v>4</v>
      </c>
      <c r="L27" s="3" t="n">
        <v>0</v>
      </c>
      <c r="M27" s="5">
        <f>IF(MAX($J$2:$J$189)&lt;=0,0,LOG10(J27+1)/LOG10(MAX($J$2:$J$189)+1)*100)*$Q$2+IF(MAX($K$2:$K$189)&lt;=0,0,LOG10(K27+1)/LOG10(MAX($K$2:$K$189)+1)*100)*$Q$3+IF(MAX($F$2:$F$189)&lt;=0,0,LOG10(F27+1)/LOG10(MAX($F$2:$F$189)+1)*100)*$Q$4</f>
        <v/>
      </c>
      <c r="N27" s="6" t="n">
        <v>0.04</v>
      </c>
      <c r="O27" s="7" t="inlineStr">
        <is>
          <t>brak (surowiec końcowy / nie jest komponentem)</t>
        </is>
      </c>
      <c r="P27" s="3" t="inlineStr">
        <is>
          <t>N/A (Overframe wyłączony w config.py)</t>
        </is>
      </c>
      <c r="Q27" s="3" t="inlineStr">
        <is>
          <t>Brak opisu w WFCD - sprawdź ręcznie: https://wiki.warframe.com/w/Melee_Vortex</t>
        </is>
      </c>
      <c r="R27" s="3" t="inlineStr">
        <is>
          <t>2026-07-26 14:33</t>
        </is>
      </c>
    </row>
    <row r="28">
      <c r="A28" s="3" t="n">
        <v>27</v>
      </c>
      <c r="B28" s="3" t="inlineStr">
        <is>
          <t>Melee Exposure</t>
        </is>
      </c>
      <c r="C28" s="3" t="inlineStr">
        <is>
          <t>Arcanes</t>
        </is>
      </c>
      <c r="D28" s="4" t="n">
        <v>4</v>
      </c>
      <c r="E28" s="4" t="n">
        <v>4.6</v>
      </c>
      <c r="F28" s="3" t="n">
        <v>83</v>
      </c>
      <c r="G28" s="3" t="n">
        <v>64</v>
      </c>
      <c r="H28" s="3" t="n">
        <v>617</v>
      </c>
      <c r="I28" s="3" t="n">
        <v>120.88</v>
      </c>
      <c r="J28" s="3" t="n">
        <v>215</v>
      </c>
      <c r="K28" s="4" t="n">
        <v>4.6</v>
      </c>
      <c r="L28" s="3" t="n">
        <v>0</v>
      </c>
      <c r="M28" s="5">
        <f>IF(MAX($J$2:$J$189)&lt;=0,0,LOG10(J28+1)/LOG10(MAX($J$2:$J$189)+1)*100)*$Q$2+IF(MAX($K$2:$K$189)&lt;=0,0,LOG10(K28+1)/LOG10(MAX($K$2:$K$189)+1)*100)*$Q$3+IF(MAX($F$2:$F$189)&lt;=0,0,LOG10(F28+1)/LOG10(MAX($F$2:$F$189)+1)*100)*$Q$4</f>
        <v/>
      </c>
      <c r="N28" s="6" t="n">
        <v>0.04</v>
      </c>
      <c r="O28" s="7" t="inlineStr">
        <is>
          <t>brak (surowiec końcowy / nie jest komponentem)</t>
        </is>
      </c>
      <c r="P28" s="3" t="inlineStr">
        <is>
          <t>N/A (Overframe wyłączony w config.py)</t>
        </is>
      </c>
      <c r="Q28" s="3" t="inlineStr">
        <is>
          <t>Brak opisu w WFCD - sprawdź ręcznie: https://wiki.warframe.com/w/Melee_Exposure</t>
        </is>
      </c>
      <c r="R28" s="3" t="inlineStr">
        <is>
          <t>2026-07-26 14:33</t>
        </is>
      </c>
    </row>
    <row r="29">
      <c r="A29" s="3" t="n">
        <v>28</v>
      </c>
      <c r="B29" s="3" t="inlineStr">
        <is>
          <t>Secondary Encumber</t>
        </is>
      </c>
      <c r="C29" s="3" t="inlineStr">
        <is>
          <t>Arcanes</t>
        </is>
      </c>
      <c r="D29" s="4" t="n">
        <v>3</v>
      </c>
      <c r="E29" s="4" t="n">
        <v>3.8</v>
      </c>
      <c r="F29" s="3" t="n">
        <v>83</v>
      </c>
      <c r="G29" s="3" t="n">
        <v>31</v>
      </c>
      <c r="H29" s="3" t="n">
        <v>256</v>
      </c>
      <c r="I29" s="3" t="n">
        <v>94.92</v>
      </c>
      <c r="J29" s="3" t="n">
        <v>111</v>
      </c>
      <c r="K29" s="4" t="n">
        <v>3.8</v>
      </c>
      <c r="L29" s="3" t="n">
        <v>0</v>
      </c>
      <c r="M29" s="5">
        <f>IF(MAX($J$2:$J$189)&lt;=0,0,LOG10(J29+1)/LOG10(MAX($J$2:$J$189)+1)*100)*$Q$2+IF(MAX($K$2:$K$189)&lt;=0,0,LOG10(K29+1)/LOG10(MAX($K$2:$K$189)+1)*100)*$Q$3+IF(MAX($F$2:$F$189)&lt;=0,0,LOG10(F29+1)/LOG10(MAX($F$2:$F$189)+1)*100)*$Q$4</f>
        <v/>
      </c>
      <c r="N29" s="6" t="n">
        <v>0.04</v>
      </c>
      <c r="O29" s="7" t="inlineStr">
        <is>
          <t>brak (surowiec końcowy / nie jest komponentem)</t>
        </is>
      </c>
      <c r="P29" s="3" t="inlineStr">
        <is>
          <t>N/A (Overframe wyłączony w config.py)</t>
        </is>
      </c>
      <c r="Q29" s="3" t="inlineStr">
        <is>
          <t>Brak opisu w WFCD - sprawdź ręcznie: https://wiki.warframe.com/w/Secondary_Encumber</t>
        </is>
      </c>
      <c r="R29" s="3" t="inlineStr">
        <is>
          <t>2026-07-26 14:33</t>
        </is>
      </c>
    </row>
    <row r="30">
      <c r="A30" s="3" t="n">
        <v>29</v>
      </c>
      <c r="B30" s="3" t="inlineStr">
        <is>
          <t>Primary Blight</t>
        </is>
      </c>
      <c r="C30" s="3" t="inlineStr">
        <is>
          <t>Arcanes</t>
        </is>
      </c>
      <c r="D30" s="4" t="n">
        <v>3</v>
      </c>
      <c r="E30" s="4" t="n">
        <v>3.8</v>
      </c>
      <c r="F30" s="3" t="n">
        <v>81</v>
      </c>
      <c r="G30" s="3" t="n">
        <v>35</v>
      </c>
      <c r="H30" s="3" t="n">
        <v>301</v>
      </c>
      <c r="I30" s="3" t="n">
        <v>80.16</v>
      </c>
      <c r="J30" s="3" t="n">
        <v>115</v>
      </c>
      <c r="K30" s="4" t="n">
        <v>3.8</v>
      </c>
      <c r="L30" s="3" t="n">
        <v>0</v>
      </c>
      <c r="M30" s="5">
        <f>IF(MAX($J$2:$J$189)&lt;=0,0,LOG10(J30+1)/LOG10(MAX($J$2:$J$189)+1)*100)*$Q$2+IF(MAX($K$2:$K$189)&lt;=0,0,LOG10(K30+1)/LOG10(MAX($K$2:$K$189)+1)*100)*$Q$3+IF(MAX($F$2:$F$189)&lt;=0,0,LOG10(F30+1)/LOG10(MAX($F$2:$F$189)+1)*100)*$Q$4</f>
        <v/>
      </c>
      <c r="N30" s="6" t="n">
        <v>0.04</v>
      </c>
      <c r="O30" s="7" t="inlineStr">
        <is>
          <t>brak (surowiec końcowy / nie jest komponentem)</t>
        </is>
      </c>
      <c r="P30" s="3" t="inlineStr">
        <is>
          <t>N/A (Overframe wyłączony w config.py)</t>
        </is>
      </c>
      <c r="Q30" s="3" t="inlineStr">
        <is>
          <t>Brak opisu w WFCD - sprawdź ręcznie: https://wiki.warframe.com/w/Primary_Blight</t>
        </is>
      </c>
      <c r="R30" s="3" t="inlineStr">
        <is>
          <t>2026-07-26 14:33</t>
        </is>
      </c>
    </row>
    <row r="31">
      <c r="A31" s="3" t="n">
        <v>30</v>
      </c>
      <c r="B31" s="3" t="inlineStr">
        <is>
          <t>Longbow Sharpshot</t>
        </is>
      </c>
      <c r="C31" s="3" t="inlineStr">
        <is>
          <t>Arcanes</t>
        </is>
      </c>
      <c r="D31" s="4" t="n">
        <v>7</v>
      </c>
      <c r="E31" s="4" t="n">
        <v>9.6</v>
      </c>
      <c r="F31" s="3" t="n">
        <v>81</v>
      </c>
      <c r="G31" s="3" t="n">
        <v>29</v>
      </c>
      <c r="H31" s="3" t="n">
        <v>165</v>
      </c>
      <c r="I31" s="3" t="n">
        <v>46.27</v>
      </c>
      <c r="J31" s="3" t="n">
        <v>64</v>
      </c>
      <c r="K31" s="4" t="n">
        <v>9.6</v>
      </c>
      <c r="L31" s="3" t="n">
        <v>0</v>
      </c>
      <c r="M31" s="5">
        <f>IF(MAX($J$2:$J$189)&lt;=0,0,LOG10(J31+1)/LOG10(MAX($J$2:$J$189)+1)*100)*$Q$2+IF(MAX($K$2:$K$189)&lt;=0,0,LOG10(K31+1)/LOG10(MAX($K$2:$K$189)+1)*100)*$Q$3+IF(MAX($F$2:$F$189)&lt;=0,0,LOG10(F31+1)/LOG10(MAX($F$2:$F$189)+1)*100)*$Q$4</f>
        <v/>
      </c>
      <c r="N31" s="6" t="n">
        <v>0.46</v>
      </c>
      <c r="O31" s="7" t="inlineStr">
        <is>
          <t>brak (surowiec końcowy / nie jest komponentem)</t>
        </is>
      </c>
      <c r="P31" s="3" t="inlineStr">
        <is>
          <t>N/A (Overframe wyłączony w config.py)</t>
        </is>
      </c>
      <c r="Q31" s="3" t="inlineStr">
        <is>
          <t>Brak opisu w WFCD - sprawdź ręcznie: https://wiki.warframe.com/w/Longbow_Sharpshot</t>
        </is>
      </c>
      <c r="R31" s="3" t="inlineStr">
        <is>
          <t>2026-07-26 14:33</t>
        </is>
      </c>
    </row>
    <row r="32">
      <c r="A32" s="3" t="n">
        <v>31</v>
      </c>
      <c r="B32" s="3" t="inlineStr">
        <is>
          <t>Arcane Pistoleer</t>
        </is>
      </c>
      <c r="C32" s="3" t="inlineStr">
        <is>
          <t>Arcanes</t>
        </is>
      </c>
      <c r="D32" s="4" t="n">
        <v>4</v>
      </c>
      <c r="E32" s="4" t="n">
        <v>4</v>
      </c>
      <c r="F32" s="3" t="n">
        <v>80</v>
      </c>
      <c r="G32" s="3" t="n">
        <v>40</v>
      </c>
      <c r="H32" s="3" t="n">
        <v>294</v>
      </c>
      <c r="I32" s="3" t="n">
        <v>86.04000000000001</v>
      </c>
      <c r="J32" s="3" t="n">
        <v>117</v>
      </c>
      <c r="K32" s="4" t="n">
        <v>4</v>
      </c>
      <c r="L32" s="3" t="n">
        <v>0</v>
      </c>
      <c r="M32" s="5">
        <f>IF(MAX($J$2:$J$189)&lt;=0,0,LOG10(J32+1)/LOG10(MAX($J$2:$J$189)+1)*100)*$Q$2+IF(MAX($K$2:$K$189)&lt;=0,0,LOG10(K32+1)/LOG10(MAX($K$2:$K$189)+1)*100)*$Q$3+IF(MAX($F$2:$F$189)&lt;=0,0,LOG10(F32+1)/LOG10(MAX($F$2:$F$189)+1)*100)*$Q$4</f>
        <v/>
      </c>
      <c r="N32" s="6" t="n">
        <v>0.03</v>
      </c>
      <c r="O32" s="7" t="inlineStr">
        <is>
          <t>brak (surowiec końcowy / nie jest komponentem)</t>
        </is>
      </c>
      <c r="P32" s="3" t="inlineStr">
        <is>
          <t>N/A (Overframe wyłączony w config.py)</t>
        </is>
      </c>
      <c r="Q32" s="3" t="inlineStr">
        <is>
          <t>Brak opisu w WFCD - sprawdź ręcznie: https://wiki.warframe.com/w/Arcane_Pistoleer</t>
        </is>
      </c>
      <c r="R32" s="3" t="inlineStr">
        <is>
          <t>2026-07-26 14:33</t>
        </is>
      </c>
    </row>
    <row r="33">
      <c r="A33" s="3" t="n">
        <v>32</v>
      </c>
      <c r="B33" s="3" t="inlineStr">
        <is>
          <t>Arcane Strike</t>
        </is>
      </c>
      <c r="C33" s="3" t="inlineStr">
        <is>
          <t>Arcanes</t>
        </is>
      </c>
      <c r="D33" s="4" t="n">
        <v>4</v>
      </c>
      <c r="E33" s="4" t="n">
        <v>4.4</v>
      </c>
      <c r="F33" s="3" t="n">
        <v>77</v>
      </c>
      <c r="G33" s="3" t="n">
        <v>52</v>
      </c>
      <c r="H33" s="3" t="n">
        <v>228</v>
      </c>
      <c r="I33" s="3" t="n">
        <v>64.56</v>
      </c>
      <c r="J33" s="3" t="n">
        <v>89</v>
      </c>
      <c r="K33" s="4" t="n">
        <v>4.4</v>
      </c>
      <c r="L33" s="3" t="n">
        <v>0</v>
      </c>
      <c r="M33" s="5">
        <f>IF(MAX($J$2:$J$189)&lt;=0,0,LOG10(J33+1)/LOG10(MAX($J$2:$J$189)+1)*100)*$Q$2+IF(MAX($K$2:$K$189)&lt;=0,0,LOG10(K33+1)/LOG10(MAX($K$2:$K$189)+1)*100)*$Q$3+IF(MAX($F$2:$F$189)&lt;=0,0,LOG10(F33+1)/LOG10(MAX($F$2:$F$189)+1)*100)*$Q$4</f>
        <v/>
      </c>
      <c r="N33" s="6" t="n">
        <v>0.11</v>
      </c>
      <c r="O33" s="7" t="inlineStr">
        <is>
          <t>brak (surowiec końcowy / nie jest komponentem)</t>
        </is>
      </c>
      <c r="P33" s="3" t="inlineStr">
        <is>
          <t>N/A (Overframe wyłączony w config.py)</t>
        </is>
      </c>
      <c r="Q33" s="3" t="inlineStr">
        <is>
          <t>Brak opisu w WFCD - sprawdź ręcznie: https://wiki.warframe.com/w/Arcane_Strike</t>
        </is>
      </c>
      <c r="R33" s="3" t="inlineStr">
        <is>
          <t>2026-07-26 14:33</t>
        </is>
      </c>
    </row>
    <row r="34">
      <c r="A34" s="3" t="n">
        <v>33</v>
      </c>
      <c r="B34" s="3" t="inlineStr">
        <is>
          <t>Melee Crescendo</t>
        </is>
      </c>
      <c r="C34" s="3" t="inlineStr">
        <is>
          <t>Arcanes</t>
        </is>
      </c>
      <c r="D34" s="4" t="n">
        <v>7</v>
      </c>
      <c r="E34" s="4" t="n">
        <v>7.2</v>
      </c>
      <c r="F34" s="3" t="n">
        <v>70</v>
      </c>
      <c r="G34" s="3" t="n">
        <v>67</v>
      </c>
      <c r="H34" s="3" t="n">
        <v>317</v>
      </c>
      <c r="I34" s="3" t="n">
        <v>93.26000000000001</v>
      </c>
      <c r="J34" s="3" t="n">
        <v>126</v>
      </c>
      <c r="K34" s="4" t="n">
        <v>7.2</v>
      </c>
      <c r="L34" s="3" t="n">
        <v>0</v>
      </c>
      <c r="M34" s="5">
        <f>IF(MAX($J$2:$J$189)&lt;=0,0,LOG10(J34+1)/LOG10(MAX($J$2:$J$189)+1)*100)*$Q$2+IF(MAX($K$2:$K$189)&lt;=0,0,LOG10(K34+1)/LOG10(MAX($K$2:$K$189)+1)*100)*$Q$3+IF(MAX($F$2:$F$189)&lt;=0,0,LOG10(F34+1)/LOG10(MAX($F$2:$F$189)+1)*100)*$Q$4</f>
        <v/>
      </c>
      <c r="N34" s="6" t="n">
        <v>0.26</v>
      </c>
      <c r="O34" s="7" t="inlineStr">
        <is>
          <t>brak (surowiec końcowy / nie jest komponentem)</t>
        </is>
      </c>
      <c r="P34" s="3" t="inlineStr">
        <is>
          <t>N/A (Overframe wyłączony w config.py)</t>
        </is>
      </c>
      <c r="Q34" s="3" t="inlineStr">
        <is>
          <t>Brak opisu w WFCD - sprawdź ręcznie: https://wiki.warframe.com/w/Melee_Crescendo</t>
        </is>
      </c>
      <c r="R34" s="3" t="inlineStr">
        <is>
          <t>2026-07-26 14:33</t>
        </is>
      </c>
    </row>
    <row r="35">
      <c r="A35" s="3" t="n">
        <v>34</v>
      </c>
      <c r="B35" s="3" t="inlineStr">
        <is>
          <t>Exodia Contagion</t>
        </is>
      </c>
      <c r="C35" s="3" t="inlineStr">
        <is>
          <t>Arcanes</t>
        </is>
      </c>
      <c r="D35" s="4" t="n">
        <v>15</v>
      </c>
      <c r="E35" s="4" t="n">
        <v>15.8</v>
      </c>
      <c r="F35" s="3" t="n">
        <v>67</v>
      </c>
      <c r="G35" s="3" t="n">
        <v>33</v>
      </c>
      <c r="H35" s="3" t="n">
        <v>98</v>
      </c>
      <c r="I35" s="3" t="n">
        <v>26.96</v>
      </c>
      <c r="J35" s="3" t="n">
        <v>38</v>
      </c>
      <c r="K35" s="4" t="n">
        <v>15.8</v>
      </c>
      <c r="L35" s="3" t="n">
        <v>0</v>
      </c>
      <c r="M35" s="5">
        <f>IF(MAX($J$2:$J$189)&lt;=0,0,LOG10(J35+1)/LOG10(MAX($J$2:$J$189)+1)*100)*$Q$2+IF(MAX($K$2:$K$189)&lt;=0,0,LOG10(K35+1)/LOG10(MAX($K$2:$K$189)+1)*100)*$Q$3+IF(MAX($F$2:$F$189)&lt;=0,0,LOG10(F35+1)/LOG10(MAX($F$2:$F$189)+1)*100)*$Q$4</f>
        <v/>
      </c>
      <c r="N35" s="6" t="n">
        <v>2.26</v>
      </c>
      <c r="O35" s="7" t="inlineStr">
        <is>
          <t>brak (surowiec końcowy / nie jest komponentem)</t>
        </is>
      </c>
      <c r="P35" s="3" t="inlineStr">
        <is>
          <t>N/A (Overframe wyłączony w config.py)</t>
        </is>
      </c>
      <c r="Q35" s="3" t="inlineStr">
        <is>
          <t>Brak opisu w WFCD - sprawdź ręcznie: https://wiki.warframe.com/w/Exodia_Contagion</t>
        </is>
      </c>
      <c r="R35" s="3" t="inlineStr">
        <is>
          <t>2026-07-26 14:33</t>
        </is>
      </c>
    </row>
    <row r="36">
      <c r="A36" s="3" t="n">
        <v>35</v>
      </c>
      <c r="B36" s="3" t="inlineStr">
        <is>
          <t>Arcane Nullifier</t>
        </is>
      </c>
      <c r="C36" s="3" t="inlineStr">
        <is>
          <t>Arcanes</t>
        </is>
      </c>
      <c r="D36" s="4" t="n">
        <v>4</v>
      </c>
      <c r="E36" s="4" t="n">
        <v>4</v>
      </c>
      <c r="F36" s="3" t="n">
        <v>66</v>
      </c>
      <c r="G36" s="3" t="n">
        <v>32</v>
      </c>
      <c r="H36" s="3" t="n">
        <v>145</v>
      </c>
      <c r="I36" s="3" t="n">
        <v>30.45</v>
      </c>
      <c r="J36" s="3" t="n">
        <v>51</v>
      </c>
      <c r="K36" s="4" t="n">
        <v>4</v>
      </c>
      <c r="L36" s="3" t="n">
        <v>0</v>
      </c>
      <c r="M36" s="5">
        <f>IF(MAX($J$2:$J$189)&lt;=0,0,LOG10(J36+1)/LOG10(MAX($J$2:$J$189)+1)*100)*$Q$2+IF(MAX($K$2:$K$189)&lt;=0,0,LOG10(K36+1)/LOG10(MAX($K$2:$K$189)+1)*100)*$Q$3+IF(MAX($F$2:$F$189)&lt;=0,0,LOG10(F36+1)/LOG10(MAX($F$2:$F$189)+1)*100)*$Q$4</f>
        <v/>
      </c>
      <c r="N36" s="6" t="n">
        <v>0.09</v>
      </c>
      <c r="O36" s="7" t="inlineStr">
        <is>
          <t>brak (surowiec końcowy / nie jest komponentem)</t>
        </is>
      </c>
      <c r="P36" s="3" t="inlineStr">
        <is>
          <t>N/A (Overframe wyłączony w config.py)</t>
        </is>
      </c>
      <c r="Q36" s="3" t="inlineStr">
        <is>
          <t>Brak opisu w WFCD - sprawdź ręcznie: https://wiki.warframe.com/w/Arcane_Nullifier</t>
        </is>
      </c>
      <c r="R36" s="3" t="inlineStr">
        <is>
          <t>2026-07-26 14:33</t>
        </is>
      </c>
    </row>
    <row r="37">
      <c r="A37" s="3" t="n">
        <v>36</v>
      </c>
      <c r="B37" s="3" t="inlineStr">
        <is>
          <t>Arcane Universal Fallout</t>
        </is>
      </c>
      <c r="C37" s="3" t="inlineStr">
        <is>
          <t>Arcanes</t>
        </is>
      </c>
      <c r="D37" s="4" t="n">
        <v>4</v>
      </c>
      <c r="E37" s="4" t="n">
        <v>4.8</v>
      </c>
      <c r="F37" s="3" t="n">
        <v>64</v>
      </c>
      <c r="G37" s="3" t="n">
        <v>81</v>
      </c>
      <c r="H37" s="3" t="n">
        <v>323</v>
      </c>
      <c r="I37" s="3" t="n">
        <v>89.06</v>
      </c>
      <c r="J37" s="3" t="n">
        <v>125</v>
      </c>
      <c r="K37" s="4" t="n">
        <v>4.8</v>
      </c>
      <c r="L37" s="3" t="n">
        <v>0</v>
      </c>
      <c r="M37" s="5">
        <f>IF(MAX($J$2:$J$189)&lt;=0,0,LOG10(J37+1)/LOG10(MAX($J$2:$J$189)+1)*100)*$Q$2+IF(MAX($K$2:$K$189)&lt;=0,0,LOG10(K37+1)/LOG10(MAX($K$2:$K$189)+1)*100)*$Q$3+IF(MAX($F$2:$F$189)&lt;=0,0,LOG10(F37+1)/LOG10(MAX($F$2:$F$189)+1)*100)*$Q$4</f>
        <v/>
      </c>
      <c r="N37" s="6" t="n">
        <v>0.09</v>
      </c>
      <c r="O37" s="7" t="inlineStr">
        <is>
          <t>brak (surowiec końcowy / nie jest komponentem)</t>
        </is>
      </c>
      <c r="P37" s="3" t="inlineStr">
        <is>
          <t>N/A (Overframe wyłączony w config.py)</t>
        </is>
      </c>
      <c r="Q37" s="3" t="inlineStr">
        <is>
          <t>Brak opisu w WFCD - sprawdź ręcznie: https://wiki.warframe.com/w/Arcane_Universal_Fallout</t>
        </is>
      </c>
      <c r="R37" s="3" t="inlineStr">
        <is>
          <t>2026-07-26 14:33</t>
        </is>
      </c>
    </row>
    <row r="38">
      <c r="A38" s="3" t="n">
        <v>37</v>
      </c>
      <c r="B38" s="3" t="inlineStr">
        <is>
          <t>Primary Merciless</t>
        </is>
      </c>
      <c r="C38" s="3" t="inlineStr">
        <is>
          <t>Arcanes</t>
        </is>
      </c>
      <c r="D38" s="4" t="n">
        <v>2</v>
      </c>
      <c r="E38" s="4" t="n">
        <v>2</v>
      </c>
      <c r="F38" s="3" t="n">
        <v>63</v>
      </c>
      <c r="G38" s="3" t="n">
        <v>82</v>
      </c>
      <c r="H38" s="3" t="n">
        <v>510</v>
      </c>
      <c r="I38" s="3" t="n">
        <v>172.99</v>
      </c>
      <c r="J38" s="3" t="n">
        <v>214</v>
      </c>
      <c r="K38" s="4" t="n">
        <v>2</v>
      </c>
      <c r="L38" s="3" t="n">
        <v>0</v>
      </c>
      <c r="M38" s="5">
        <f>IF(MAX($J$2:$J$189)&lt;=0,0,LOG10(J38+1)/LOG10(MAX($J$2:$J$189)+1)*100)*$Q$2+IF(MAX($K$2:$K$189)&lt;=0,0,LOG10(K38+1)/LOG10(MAX($K$2:$K$189)+1)*100)*$Q$3+IF(MAX($F$2:$F$189)&lt;=0,0,LOG10(F38+1)/LOG10(MAX($F$2:$F$189)+1)*100)*$Q$4</f>
        <v/>
      </c>
      <c r="N38" s="6" t="n">
        <v>0.05</v>
      </c>
      <c r="O38" s="7" t="inlineStr">
        <is>
          <t>brak (surowiec końcowy / nie jest komponentem)</t>
        </is>
      </c>
      <c r="P38" s="3" t="inlineStr">
        <is>
          <t>N/A (Overframe wyłączony w config.py)</t>
        </is>
      </c>
      <c r="Q38" s="3" t="inlineStr">
        <is>
          <t>Brak opisu w WFCD - sprawdź ręcznie: https://wiki.warframe.com/w/Primary_Merciless</t>
        </is>
      </c>
      <c r="R38" s="3" t="inlineStr">
        <is>
          <t>2026-07-26 14:33</t>
        </is>
      </c>
    </row>
    <row r="39">
      <c r="A39" s="3" t="n">
        <v>38</v>
      </c>
      <c r="B39" s="3" t="inlineStr">
        <is>
          <t>Primary Deadhead</t>
        </is>
      </c>
      <c r="C39" s="3" t="inlineStr">
        <is>
          <t>Arcanes</t>
        </is>
      </c>
      <c r="D39" s="4" t="n">
        <v>1</v>
      </c>
      <c r="E39" s="4" t="n">
        <v>1.6</v>
      </c>
      <c r="F39" s="3" t="n">
        <v>52</v>
      </c>
      <c r="G39" s="3" t="n">
        <v>77</v>
      </c>
      <c r="H39" s="3" t="n">
        <v>366</v>
      </c>
      <c r="I39" s="3" t="n">
        <v>141.96</v>
      </c>
      <c r="J39" s="3" t="n">
        <v>162</v>
      </c>
      <c r="K39" s="4" t="n">
        <v>1.6</v>
      </c>
      <c r="L39" s="3" t="n">
        <v>0</v>
      </c>
      <c r="M39" s="5">
        <f>IF(MAX($J$2:$J$189)&lt;=0,0,LOG10(J39+1)/LOG10(MAX($J$2:$J$189)+1)*100)*$Q$2+IF(MAX($K$2:$K$189)&lt;=0,0,LOG10(K39+1)/LOG10(MAX($K$2:$K$189)+1)*100)*$Q$3+IF(MAX($F$2:$F$189)&lt;=0,0,LOG10(F39+1)/LOG10(MAX($F$2:$F$189)+1)*100)*$Q$4</f>
        <v/>
      </c>
      <c r="N39" s="6" t="n">
        <v>0.04</v>
      </c>
      <c r="O39" s="7" t="inlineStr">
        <is>
          <t>brak (surowiec końcowy / nie jest komponentem)</t>
        </is>
      </c>
      <c r="P39" s="3" t="inlineStr">
        <is>
          <t>N/A (Overframe wyłączony w config.py)</t>
        </is>
      </c>
      <c r="Q39" s="3" t="inlineStr">
        <is>
          <t>Brak opisu w WFCD - sprawdź ręcznie: https://wiki.warframe.com/w/Primary_Deadhead</t>
        </is>
      </c>
      <c r="R39" s="3" t="inlineStr">
        <is>
          <t>2026-07-26 14:33</t>
        </is>
      </c>
    </row>
    <row r="40">
      <c r="A40" s="3" t="n">
        <v>39</v>
      </c>
      <c r="B40" s="3" t="inlineStr">
        <is>
          <t>Magus Cloud</t>
        </is>
      </c>
      <c r="C40" s="3" t="inlineStr">
        <is>
          <t>Arcanes</t>
        </is>
      </c>
      <c r="D40" s="4" t="n">
        <v>3</v>
      </c>
      <c r="E40" s="4" t="n">
        <v>4</v>
      </c>
      <c r="F40" s="3" t="n">
        <v>51</v>
      </c>
      <c r="G40" s="3" t="n">
        <v>41</v>
      </c>
      <c r="H40" s="3" t="n">
        <v>48</v>
      </c>
      <c r="I40" s="3" t="n">
        <v>15.62</v>
      </c>
      <c r="J40" s="3" t="n">
        <v>20</v>
      </c>
      <c r="K40" s="4" t="n">
        <v>4</v>
      </c>
      <c r="L40" s="3" t="n">
        <v>0</v>
      </c>
      <c r="M40" s="5">
        <f>IF(MAX($J$2:$J$189)&lt;=0,0,LOG10(J40+1)/LOG10(MAX($J$2:$J$189)+1)*100)*$Q$2+IF(MAX($K$2:$K$189)&lt;=0,0,LOG10(K40+1)/LOG10(MAX($K$2:$K$189)+1)*100)*$Q$3+IF(MAX($F$2:$F$189)&lt;=0,0,LOG10(F40+1)/LOG10(MAX($F$2:$F$189)+1)*100)*$Q$4</f>
        <v/>
      </c>
      <c r="N40" s="6" t="n">
        <v>0.57</v>
      </c>
      <c r="O40" s="7" t="inlineStr">
        <is>
          <t>brak (surowiec końcowy / nie jest komponentem)</t>
        </is>
      </c>
      <c r="P40" s="3" t="inlineStr">
        <is>
          <t>N/A (Overframe wyłączony w config.py)</t>
        </is>
      </c>
      <c r="Q40" s="3" t="inlineStr">
        <is>
          <t>Brak opisu w WFCD - sprawdź ręcznie: https://wiki.warframe.com/w/Magus_Cloud</t>
        </is>
      </c>
      <c r="R40" s="3" t="inlineStr">
        <is>
          <t>2026-07-26 14:33</t>
        </is>
      </c>
    </row>
    <row r="41">
      <c r="A41" s="3" t="n">
        <v>40</v>
      </c>
      <c r="B41" s="3" t="inlineStr">
        <is>
          <t>Cascadia Flare</t>
        </is>
      </c>
      <c r="C41" s="3" t="inlineStr">
        <is>
          <t>Arcanes</t>
        </is>
      </c>
      <c r="D41" s="4" t="n">
        <v>2</v>
      </c>
      <c r="E41" s="4" t="n">
        <v>2.6</v>
      </c>
      <c r="F41" s="3" t="n">
        <v>50</v>
      </c>
      <c r="G41" s="3" t="n">
        <v>61</v>
      </c>
      <c r="H41" s="3" t="n">
        <v>527</v>
      </c>
      <c r="I41" s="3" t="n">
        <v>117.31</v>
      </c>
      <c r="J41" s="3" t="n">
        <v>190</v>
      </c>
      <c r="K41" s="4" t="n">
        <v>2.6</v>
      </c>
      <c r="L41" s="3" t="n">
        <v>0</v>
      </c>
      <c r="M41" s="5">
        <f>IF(MAX($J$2:$J$189)&lt;=0,0,LOG10(J41+1)/LOG10(MAX($J$2:$J$189)+1)*100)*$Q$2+IF(MAX($K$2:$K$189)&lt;=0,0,LOG10(K41+1)/LOG10(MAX($K$2:$K$189)+1)*100)*$Q$3+IF(MAX($F$2:$F$189)&lt;=0,0,LOG10(F41+1)/LOG10(MAX($F$2:$F$189)+1)*100)*$Q$4</f>
        <v/>
      </c>
      <c r="N41" s="6" t="n">
        <v>0.37</v>
      </c>
      <c r="O41" s="7" t="inlineStr">
        <is>
          <t>brak (surowiec końcowy / nie jest komponentem)</t>
        </is>
      </c>
      <c r="P41" s="3" t="inlineStr">
        <is>
          <t>N/A (Overframe wyłączony w config.py)</t>
        </is>
      </c>
      <c r="Q41" s="3" t="inlineStr">
        <is>
          <t>Brak opisu w WFCD - sprawdź ręcznie: https://wiki.warframe.com/w/Cascadia_Flare</t>
        </is>
      </c>
      <c r="R41" s="3" t="inlineStr">
        <is>
          <t>2026-07-26 14:33</t>
        </is>
      </c>
    </row>
    <row r="42">
      <c r="A42" s="3" t="n">
        <v>41</v>
      </c>
      <c r="B42" s="3" t="inlineStr">
        <is>
          <t>Arcane Persistence</t>
        </is>
      </c>
      <c r="C42" s="3" t="inlineStr">
        <is>
          <t>Arcanes</t>
        </is>
      </c>
      <c r="D42" s="4" t="n">
        <v>2</v>
      </c>
      <c r="E42" s="4" t="n">
        <v>2</v>
      </c>
      <c r="F42" s="3" t="n">
        <v>50</v>
      </c>
      <c r="G42" s="3" t="n">
        <v>50</v>
      </c>
      <c r="H42" s="3" t="n">
        <v>277</v>
      </c>
      <c r="I42" s="3" t="n">
        <v>90.15000000000001</v>
      </c>
      <c r="J42" s="3" t="n">
        <v>114</v>
      </c>
      <c r="K42" s="4" t="n">
        <v>2</v>
      </c>
      <c r="L42" s="3" t="n">
        <v>0</v>
      </c>
      <c r="M42" s="5">
        <f>IF(MAX($J$2:$J$189)&lt;=0,0,LOG10(J42+1)/LOG10(MAX($J$2:$J$189)+1)*100)*$Q$2+IF(MAX($K$2:$K$189)&lt;=0,0,LOG10(K42+1)/LOG10(MAX($K$2:$K$189)+1)*100)*$Q$3+IF(MAX($F$2:$F$189)&lt;=0,0,LOG10(F42+1)/LOG10(MAX($F$2:$F$189)+1)*100)*$Q$4</f>
        <v/>
      </c>
      <c r="N42" s="6" t="n">
        <v>0.02</v>
      </c>
      <c r="O42" s="7" t="inlineStr">
        <is>
          <t>brak (surowiec końcowy / nie jest komponentem)</t>
        </is>
      </c>
      <c r="P42" s="3" t="inlineStr">
        <is>
          <t>N/A (Overframe wyłączony w config.py)</t>
        </is>
      </c>
      <c r="Q42" s="3" t="inlineStr">
        <is>
          <t>Brak opisu w WFCD - sprawdź ręcznie: https://wiki.warframe.com/w/Arcane_Persistence</t>
        </is>
      </c>
      <c r="R42" s="3" t="inlineStr">
        <is>
          <t>2026-07-26 14:33</t>
        </is>
      </c>
    </row>
    <row r="43">
      <c r="A43" s="3" t="n">
        <v>42</v>
      </c>
      <c r="B43" s="3" t="inlineStr">
        <is>
          <t>Arcane Tempo</t>
        </is>
      </c>
      <c r="C43" s="3" t="inlineStr">
        <is>
          <t>Arcanes</t>
        </is>
      </c>
      <c r="D43" s="4" t="n">
        <v>4</v>
      </c>
      <c r="E43" s="4" t="n">
        <v>6.6</v>
      </c>
      <c r="F43" s="3" t="n">
        <v>50</v>
      </c>
      <c r="G43" s="3" t="n">
        <v>21</v>
      </c>
      <c r="H43" s="3" t="n">
        <v>166</v>
      </c>
      <c r="I43" s="3" t="n">
        <v>24.66</v>
      </c>
      <c r="J43" s="3" t="n">
        <v>54</v>
      </c>
      <c r="K43" s="4" t="n">
        <v>6.6</v>
      </c>
      <c r="L43" s="3" t="n">
        <v>0</v>
      </c>
      <c r="M43" s="5">
        <f>IF(MAX($J$2:$J$189)&lt;=0,0,LOG10(J43+1)/LOG10(MAX($J$2:$J$189)+1)*100)*$Q$2+IF(MAX($K$2:$K$189)&lt;=0,0,LOG10(K43+1)/LOG10(MAX($K$2:$K$189)+1)*100)*$Q$3+IF(MAX($F$2:$F$189)&lt;=0,0,LOG10(F43+1)/LOG10(MAX($F$2:$F$189)+1)*100)*$Q$4</f>
        <v/>
      </c>
      <c r="N43" s="6" t="n">
        <v>0.17</v>
      </c>
      <c r="O43" s="7" t="inlineStr">
        <is>
          <t>brak (surowiec końcowy / nie jest komponentem)</t>
        </is>
      </c>
      <c r="P43" s="3" t="inlineStr">
        <is>
          <t>N/A (Overframe wyłączony w config.py)</t>
        </is>
      </c>
      <c r="Q43" s="3" t="inlineStr">
        <is>
          <t>Brak opisu w WFCD - sprawdź ręcznie: https://wiki.warframe.com/w/Arcane_Tempo</t>
        </is>
      </c>
      <c r="R43" s="3" t="inlineStr">
        <is>
          <t>2026-07-26 14:33</t>
        </is>
      </c>
    </row>
    <row r="44">
      <c r="A44" s="3" t="n">
        <v>43</v>
      </c>
      <c r="B44" s="3" t="inlineStr">
        <is>
          <t>Arcane Grace</t>
        </is>
      </c>
      <c r="C44" s="3" t="inlineStr">
        <is>
          <t>Arcanes</t>
        </is>
      </c>
      <c r="D44" s="4" t="n">
        <v>4</v>
      </c>
      <c r="E44" s="4" t="n">
        <v>6.4</v>
      </c>
      <c r="F44" s="3" t="n">
        <v>49</v>
      </c>
      <c r="G44" s="3" t="n">
        <v>54</v>
      </c>
      <c r="H44" s="3" t="n">
        <v>168</v>
      </c>
      <c r="I44" s="3" t="n">
        <v>58.52</v>
      </c>
      <c r="J44" s="3" t="n">
        <v>71</v>
      </c>
      <c r="K44" s="4" t="n">
        <v>6.4</v>
      </c>
      <c r="L44" s="3" t="n">
        <v>0</v>
      </c>
      <c r="M44" s="5">
        <f>IF(MAX($J$2:$J$189)&lt;=0,0,LOG10(J44+1)/LOG10(MAX($J$2:$J$189)+1)*100)*$Q$2+IF(MAX($K$2:$K$189)&lt;=0,0,LOG10(K44+1)/LOG10(MAX($K$2:$K$189)+1)*100)*$Q$3+IF(MAX($F$2:$F$189)&lt;=0,0,LOG10(F44+1)/LOG10(MAX($F$2:$F$189)+1)*100)*$Q$4</f>
        <v/>
      </c>
      <c r="N44" s="6" t="n">
        <v>0.05</v>
      </c>
      <c r="O44" s="7" t="inlineStr">
        <is>
          <t>brak (surowiec końcowy / nie jest komponentem)</t>
        </is>
      </c>
      <c r="P44" s="3" t="inlineStr">
        <is>
          <t>N/A (Overframe wyłączony w config.py)</t>
        </is>
      </c>
      <c r="Q44" s="3" t="inlineStr">
        <is>
          <t>Brak opisu w WFCD - sprawdź ręcznie: https://wiki.warframe.com/w/Arcane_Grace</t>
        </is>
      </c>
      <c r="R44" s="3" t="inlineStr">
        <is>
          <t>2026-07-26 14:33</t>
        </is>
      </c>
    </row>
    <row r="45">
      <c r="A45" s="3" t="n">
        <v>44</v>
      </c>
      <c r="B45" s="3" t="inlineStr">
        <is>
          <t>Primary Dexterity</t>
        </is>
      </c>
      <c r="C45" s="3" t="inlineStr">
        <is>
          <t>Arcanes</t>
        </is>
      </c>
      <c r="D45" s="4" t="n">
        <v>1</v>
      </c>
      <c r="E45" s="4" t="n">
        <v>1</v>
      </c>
      <c r="F45" s="3" t="n">
        <v>48</v>
      </c>
      <c r="G45" s="3" t="n">
        <v>93</v>
      </c>
      <c r="H45" s="3" t="n">
        <v>114</v>
      </c>
      <c r="I45" s="3" t="n">
        <v>39.37</v>
      </c>
      <c r="J45" s="3" t="n">
        <v>48</v>
      </c>
      <c r="K45" s="4" t="n">
        <v>1</v>
      </c>
      <c r="L45" s="3" t="n">
        <v>0</v>
      </c>
      <c r="M45" s="5">
        <f>IF(MAX($J$2:$J$189)&lt;=0,0,LOG10(J45+1)/LOG10(MAX($J$2:$J$189)+1)*100)*$Q$2+IF(MAX($K$2:$K$189)&lt;=0,0,LOG10(K45+1)/LOG10(MAX($K$2:$K$189)+1)*100)*$Q$3+IF(MAX($F$2:$F$189)&lt;=0,0,LOG10(F45+1)/LOG10(MAX($F$2:$F$189)+1)*100)*$Q$4</f>
        <v/>
      </c>
      <c r="N45" s="6" t="n">
        <v>0.02</v>
      </c>
      <c r="O45" s="7" t="inlineStr">
        <is>
          <t>brak (surowiec końcowy / nie jest komponentem)</t>
        </is>
      </c>
      <c r="P45" s="3" t="inlineStr">
        <is>
          <t>N/A (Overframe wyłączony w config.py)</t>
        </is>
      </c>
      <c r="Q45" s="3" t="inlineStr">
        <is>
          <t>Brak opisu w WFCD - sprawdź ręcznie: https://wiki.warframe.com/w/Primary_Dexterity</t>
        </is>
      </c>
      <c r="R45" s="3" t="inlineStr">
        <is>
          <t>2026-07-26 14:33</t>
        </is>
      </c>
    </row>
    <row r="46">
      <c r="A46" s="3" t="n">
        <v>45</v>
      </c>
      <c r="B46" s="3" t="inlineStr">
        <is>
          <t>Arcane Rage</t>
        </is>
      </c>
      <c r="C46" s="3" t="inlineStr">
        <is>
          <t>Arcanes</t>
        </is>
      </c>
      <c r="D46" s="4" t="n">
        <v>3</v>
      </c>
      <c r="E46" s="4" t="n">
        <v>3</v>
      </c>
      <c r="F46" s="3" t="n">
        <v>48</v>
      </c>
      <c r="G46" s="3" t="n">
        <v>54</v>
      </c>
      <c r="H46" s="3" t="n">
        <v>196</v>
      </c>
      <c r="I46" s="3" t="n">
        <v>34.43</v>
      </c>
      <c r="J46" s="3" t="n">
        <v>66</v>
      </c>
      <c r="K46" s="4" t="n">
        <v>3</v>
      </c>
      <c r="L46" s="3" t="n">
        <v>0</v>
      </c>
      <c r="M46" s="5">
        <f>IF(MAX($J$2:$J$189)&lt;=0,0,LOG10(J46+1)/LOG10(MAX($J$2:$J$189)+1)*100)*$Q$2+IF(MAX($K$2:$K$189)&lt;=0,0,LOG10(K46+1)/LOG10(MAX($K$2:$K$189)+1)*100)*$Q$3+IF(MAX($F$2:$F$189)&lt;=0,0,LOG10(F46+1)/LOG10(MAX($F$2:$F$189)+1)*100)*$Q$4</f>
        <v/>
      </c>
      <c r="N46" s="6" t="n">
        <v>0.06</v>
      </c>
      <c r="O46" s="7" t="inlineStr">
        <is>
          <t>brak (surowiec końcowy / nie jest komponentem)</t>
        </is>
      </c>
      <c r="P46" s="3" t="inlineStr">
        <is>
          <t>N/A (Overframe wyłączony w config.py)</t>
        </is>
      </c>
      <c r="Q46" s="3" t="inlineStr">
        <is>
          <t>Brak opisu w WFCD - sprawdź ręcznie: https://wiki.warframe.com/w/Arcane_Rage</t>
        </is>
      </c>
      <c r="R46" s="3" t="inlineStr">
        <is>
          <t>2026-07-26 14:33</t>
        </is>
      </c>
    </row>
    <row r="47">
      <c r="A47" s="3" t="n">
        <v>46</v>
      </c>
      <c r="B47" s="3" t="inlineStr">
        <is>
          <t>Arcane Acceleration</t>
        </is>
      </c>
      <c r="C47" s="3" t="inlineStr">
        <is>
          <t>Arcanes</t>
        </is>
      </c>
      <c r="D47" s="4" t="n">
        <v>3</v>
      </c>
      <c r="E47" s="4" t="n">
        <v>3.4</v>
      </c>
      <c r="F47" s="3" t="n">
        <v>48</v>
      </c>
      <c r="G47" s="3" t="n">
        <v>48</v>
      </c>
      <c r="H47" s="3" t="n">
        <v>214</v>
      </c>
      <c r="I47" s="3" t="n">
        <v>31.17</v>
      </c>
      <c r="J47" s="3" t="n">
        <v>69</v>
      </c>
      <c r="K47" s="4" t="n">
        <v>3.4</v>
      </c>
      <c r="L47" s="3" t="n">
        <v>0</v>
      </c>
      <c r="M47" s="5">
        <f>IF(MAX($J$2:$J$189)&lt;=0,0,LOG10(J47+1)/LOG10(MAX($J$2:$J$189)+1)*100)*$Q$2+IF(MAX($K$2:$K$189)&lt;=0,0,LOG10(K47+1)/LOG10(MAX($K$2:$K$189)+1)*100)*$Q$3+IF(MAX($F$2:$F$189)&lt;=0,0,LOG10(F47+1)/LOG10(MAX($F$2:$F$189)+1)*100)*$Q$4</f>
        <v/>
      </c>
      <c r="N47" s="6" t="n">
        <v>0.05</v>
      </c>
      <c r="O47" s="7" t="inlineStr">
        <is>
          <t>brak (surowiec końcowy / nie jest komponentem)</t>
        </is>
      </c>
      <c r="P47" s="3" t="inlineStr">
        <is>
          <t>N/A (Overframe wyłączony w config.py)</t>
        </is>
      </c>
      <c r="Q47" s="3" t="inlineStr">
        <is>
          <t>Brak opisu w WFCD - sprawdź ręcznie: https://wiki.warframe.com/w/Arcane_Acceleration</t>
        </is>
      </c>
      <c r="R47" s="3" t="inlineStr">
        <is>
          <t>2026-07-26 14:33</t>
        </is>
      </c>
    </row>
    <row r="48">
      <c r="A48" s="3" t="n">
        <v>47</v>
      </c>
      <c r="B48" s="3" t="inlineStr">
        <is>
          <t>Secondary Dexterity</t>
        </is>
      </c>
      <c r="C48" s="3" t="inlineStr">
        <is>
          <t>Arcanes</t>
        </is>
      </c>
      <c r="D48" s="4" t="n">
        <v>1</v>
      </c>
      <c r="E48" s="4" t="n">
        <v>1</v>
      </c>
      <c r="F48" s="3" t="n">
        <v>46</v>
      </c>
      <c r="G48" s="3" t="n">
        <v>89</v>
      </c>
      <c r="H48" s="3" t="n">
        <v>169</v>
      </c>
      <c r="I48" s="3" t="n">
        <v>33.46</v>
      </c>
      <c r="J48" s="3" t="n">
        <v>59</v>
      </c>
      <c r="K48" s="4" t="n">
        <v>1</v>
      </c>
      <c r="L48" s="3" t="n">
        <v>0</v>
      </c>
      <c r="M48" s="5">
        <f>IF(MAX($J$2:$J$189)&lt;=0,0,LOG10(J48+1)/LOG10(MAX($J$2:$J$189)+1)*100)*$Q$2+IF(MAX($K$2:$K$189)&lt;=0,0,LOG10(K48+1)/LOG10(MAX($K$2:$K$189)+1)*100)*$Q$3+IF(MAX($F$2:$F$189)&lt;=0,0,LOG10(F48+1)/LOG10(MAX($F$2:$F$189)+1)*100)*$Q$4</f>
        <v/>
      </c>
      <c r="N48" s="6" t="n">
        <v>0.02</v>
      </c>
      <c r="O48" s="7" t="inlineStr">
        <is>
          <t>brak (surowiec końcowy / nie jest komponentem)</t>
        </is>
      </c>
      <c r="P48" s="3" t="inlineStr">
        <is>
          <t>N/A (Overframe wyłączony w config.py)</t>
        </is>
      </c>
      <c r="Q48" s="3" t="inlineStr">
        <is>
          <t>Brak opisu w WFCD - sprawdź ręcznie: https://wiki.warframe.com/w/Secondary_Dexterity</t>
        </is>
      </c>
      <c r="R48" s="3" t="inlineStr">
        <is>
          <t>2026-07-26 14:33</t>
        </is>
      </c>
    </row>
    <row r="49">
      <c r="A49" s="3" t="n">
        <v>48</v>
      </c>
      <c r="B49" s="3" t="inlineStr">
        <is>
          <t>Secondary Merciless</t>
        </is>
      </c>
      <c r="C49" s="3" t="inlineStr">
        <is>
          <t>Arcanes</t>
        </is>
      </c>
      <c r="D49" s="4" t="n">
        <v>1</v>
      </c>
      <c r="E49" s="4" t="n">
        <v>1</v>
      </c>
      <c r="F49" s="3" t="n">
        <v>45</v>
      </c>
      <c r="G49" s="3" t="n">
        <v>91</v>
      </c>
      <c r="H49" s="3" t="n">
        <v>225</v>
      </c>
      <c r="I49" s="3" t="n">
        <v>58.57</v>
      </c>
      <c r="J49" s="3" t="n">
        <v>86</v>
      </c>
      <c r="K49" s="4" t="n">
        <v>1</v>
      </c>
      <c r="L49" s="3" t="n">
        <v>0</v>
      </c>
      <c r="M49" s="5">
        <f>IF(MAX($J$2:$J$189)&lt;=0,0,LOG10(J49+1)/LOG10(MAX($J$2:$J$189)+1)*100)*$Q$2+IF(MAX($K$2:$K$189)&lt;=0,0,LOG10(K49+1)/LOG10(MAX($K$2:$K$189)+1)*100)*$Q$3+IF(MAX($F$2:$F$189)&lt;=0,0,LOG10(F49+1)/LOG10(MAX($F$2:$F$189)+1)*100)*$Q$4</f>
        <v/>
      </c>
      <c r="N49" s="6" t="n">
        <v>0.02</v>
      </c>
      <c r="O49" s="7" t="inlineStr">
        <is>
          <t>brak (surowiec końcowy / nie jest komponentem)</t>
        </is>
      </c>
      <c r="P49" s="3" t="inlineStr">
        <is>
          <t>N/A (Overframe wyłączony w config.py)</t>
        </is>
      </c>
      <c r="Q49" s="3" t="inlineStr">
        <is>
          <t>Brak opisu w WFCD - sprawdź ręcznie: https://wiki.warframe.com/w/Secondary_Merciless</t>
        </is>
      </c>
      <c r="R49" s="3" t="inlineStr">
        <is>
          <t>2026-07-26 14:33</t>
        </is>
      </c>
    </row>
    <row r="50">
      <c r="A50" s="3" t="n">
        <v>49</v>
      </c>
      <c r="B50" s="3" t="inlineStr">
        <is>
          <t>Secondary Deadhead</t>
        </is>
      </c>
      <c r="C50" s="3" t="inlineStr">
        <is>
          <t>Arcanes</t>
        </is>
      </c>
      <c r="D50" s="4" t="n">
        <v>1</v>
      </c>
      <c r="E50" s="4" t="n">
        <v>1</v>
      </c>
      <c r="F50" s="3" t="n">
        <v>45</v>
      </c>
      <c r="G50" s="3" t="n">
        <v>81</v>
      </c>
      <c r="H50" s="3" t="n">
        <v>218</v>
      </c>
      <c r="I50" s="3" t="n">
        <v>54.72</v>
      </c>
      <c r="J50" s="3" t="n">
        <v>82</v>
      </c>
      <c r="K50" s="4" t="n">
        <v>1</v>
      </c>
      <c r="L50" s="3" t="n">
        <v>0</v>
      </c>
      <c r="M50" s="5">
        <f>IF(MAX($J$2:$J$189)&lt;=0,0,LOG10(J50+1)/LOG10(MAX($J$2:$J$189)+1)*100)*$Q$2+IF(MAX($K$2:$K$189)&lt;=0,0,LOG10(K50+1)/LOG10(MAX($K$2:$K$189)+1)*100)*$Q$3+IF(MAX($F$2:$F$189)&lt;=0,0,LOG10(F50+1)/LOG10(MAX($F$2:$F$189)+1)*100)*$Q$4</f>
        <v/>
      </c>
      <c r="N50" s="6" t="n">
        <v>0.02</v>
      </c>
      <c r="O50" s="7" t="inlineStr">
        <is>
          <t>brak (surowiec końcowy / nie jest komponentem)</t>
        </is>
      </c>
      <c r="P50" s="3" t="inlineStr">
        <is>
          <t>N/A (Overframe wyłączony w config.py)</t>
        </is>
      </c>
      <c r="Q50" s="3" t="inlineStr">
        <is>
          <t>Brak opisu w WFCD - sprawdź ręcznie: https://wiki.warframe.com/w/Secondary_Deadhead</t>
        </is>
      </c>
      <c r="R50" s="3" t="inlineStr">
        <is>
          <t>2026-07-26 14:33</t>
        </is>
      </c>
    </row>
    <row r="51">
      <c r="A51" s="3" t="n">
        <v>50</v>
      </c>
      <c r="B51" s="3" t="inlineStr">
        <is>
          <t>Magus Lockdown</t>
        </is>
      </c>
      <c r="C51" s="3" t="inlineStr">
        <is>
          <t>Arcanes</t>
        </is>
      </c>
      <c r="D51" s="4" t="n">
        <v>5</v>
      </c>
      <c r="E51" s="4" t="n">
        <v>5.8</v>
      </c>
      <c r="F51" s="3" t="n">
        <v>45</v>
      </c>
      <c r="G51" s="3" t="n">
        <v>46</v>
      </c>
      <c r="H51" s="3" t="n">
        <v>105</v>
      </c>
      <c r="I51" s="3" t="n">
        <v>27.37</v>
      </c>
      <c r="J51" s="3" t="n">
        <v>40</v>
      </c>
      <c r="K51" s="4" t="n">
        <v>5.8</v>
      </c>
      <c r="L51" s="3" t="n">
        <v>0</v>
      </c>
      <c r="M51" s="5">
        <f>IF(MAX($J$2:$J$189)&lt;=0,0,LOG10(J51+1)/LOG10(MAX($J$2:$J$189)+1)*100)*$Q$2+IF(MAX($K$2:$K$189)&lt;=0,0,LOG10(K51+1)/LOG10(MAX($K$2:$K$189)+1)*100)*$Q$3+IF(MAX($F$2:$F$189)&lt;=0,0,LOG10(F51+1)/LOG10(MAX($F$2:$F$189)+1)*100)*$Q$4</f>
        <v/>
      </c>
      <c r="N51" s="6" t="n">
        <v>0.83</v>
      </c>
      <c r="O51" s="7" t="inlineStr">
        <is>
          <t>brak (surowiec końcowy / nie jest komponentem)</t>
        </is>
      </c>
      <c r="P51" s="3" t="inlineStr">
        <is>
          <t>N/A (Overframe wyłączony w config.py)</t>
        </is>
      </c>
      <c r="Q51" s="3" t="inlineStr">
        <is>
          <t>Brak opisu w WFCD - sprawdź ręcznie: https://wiki.warframe.com/w/Magus_Lockdown</t>
        </is>
      </c>
      <c r="R51" s="3" t="inlineStr">
        <is>
          <t>2026-07-26 14:33</t>
        </is>
      </c>
    </row>
    <row r="52">
      <c r="A52" s="3" t="n">
        <v>51</v>
      </c>
      <c r="B52" s="3" t="inlineStr">
        <is>
          <t>Melee Assimilation</t>
        </is>
      </c>
      <c r="C52" s="3" t="inlineStr">
        <is>
          <t>Arcanes</t>
        </is>
      </c>
      <c r="D52" s="4" t="n">
        <v>2</v>
      </c>
      <c r="E52" s="4" t="n">
        <v>2.8</v>
      </c>
      <c r="F52" s="3" t="n">
        <v>44</v>
      </c>
      <c r="G52" s="3" t="n">
        <v>17</v>
      </c>
      <c r="H52" s="3" t="n">
        <v>54</v>
      </c>
      <c r="I52" s="3" t="n">
        <v>29.63</v>
      </c>
      <c r="J52" s="3" t="n">
        <v>28</v>
      </c>
      <c r="K52" s="4" t="n">
        <v>2.8</v>
      </c>
      <c r="L52" s="3" t="n">
        <v>0</v>
      </c>
      <c r="M52" s="5">
        <f>IF(MAX($J$2:$J$189)&lt;=0,0,LOG10(J52+1)/LOG10(MAX($J$2:$J$189)+1)*100)*$Q$2+IF(MAX($K$2:$K$189)&lt;=0,0,LOG10(K52+1)/LOG10(MAX($K$2:$K$189)+1)*100)*$Q$3+IF(MAX($F$2:$F$189)&lt;=0,0,LOG10(F52+1)/LOG10(MAX($F$2:$F$189)+1)*100)*$Q$4</f>
        <v/>
      </c>
      <c r="N52" s="6" t="n">
        <v>0.1</v>
      </c>
      <c r="O52" s="7" t="inlineStr">
        <is>
          <t>brak (surowiec końcowy / nie jest komponentem)</t>
        </is>
      </c>
      <c r="P52" s="3" t="inlineStr">
        <is>
          <t>N/A (Overframe wyłączony w config.py)</t>
        </is>
      </c>
      <c r="Q52" s="3" t="inlineStr">
        <is>
          <t>Brak opisu w WFCD - sprawdź ręcznie: https://wiki.warframe.com/w/Melee_Assimilation</t>
        </is>
      </c>
      <c r="R52" s="3" t="inlineStr">
        <is>
          <t>2026-07-26 14:33</t>
        </is>
      </c>
    </row>
    <row r="53">
      <c r="A53" s="3" t="n">
        <v>52</v>
      </c>
      <c r="B53" s="3" t="inlineStr">
        <is>
          <t>Magus Anomaly</t>
        </is>
      </c>
      <c r="C53" s="3" t="inlineStr">
        <is>
          <t>Arcanes</t>
        </is>
      </c>
      <c r="D53" s="4" t="n">
        <v>7</v>
      </c>
      <c r="E53" s="4" t="n">
        <v>8.4</v>
      </c>
      <c r="F53" s="3" t="n">
        <v>43</v>
      </c>
      <c r="G53" s="3" t="n">
        <v>31</v>
      </c>
      <c r="H53" s="3" t="n">
        <v>34</v>
      </c>
      <c r="I53" s="3" t="n">
        <v>16.89</v>
      </c>
      <c r="J53" s="3" t="n">
        <v>17</v>
      </c>
      <c r="K53" s="4" t="n">
        <v>8.4</v>
      </c>
      <c r="L53" s="3" t="n">
        <v>0</v>
      </c>
      <c r="M53" s="5">
        <f>IF(MAX($J$2:$J$189)&lt;=0,0,LOG10(J53+1)/LOG10(MAX($J$2:$J$189)+1)*100)*$Q$2+IF(MAX($K$2:$K$189)&lt;=0,0,LOG10(K53+1)/LOG10(MAX($K$2:$K$189)+1)*100)*$Q$3+IF(MAX($F$2:$F$189)&lt;=0,0,LOG10(F53+1)/LOG10(MAX($F$2:$F$189)+1)*100)*$Q$4</f>
        <v/>
      </c>
      <c r="N53" s="6" t="n">
        <v>1.2</v>
      </c>
      <c r="O53" s="7" t="inlineStr">
        <is>
          <t>brak (surowiec końcowy / nie jest komponentem)</t>
        </is>
      </c>
      <c r="P53" s="3" t="inlineStr">
        <is>
          <t>N/A (Overframe wyłączony w config.py)</t>
        </is>
      </c>
      <c r="Q53" s="3" t="inlineStr">
        <is>
          <t>Brak opisu w WFCD - sprawdź ręcznie: https://wiki.warframe.com/w/Magus_Anomaly</t>
        </is>
      </c>
      <c r="R53" s="3" t="inlineStr">
        <is>
          <t>2026-07-26 14:33</t>
        </is>
      </c>
    </row>
    <row r="54">
      <c r="A54" s="3" t="n">
        <v>53</v>
      </c>
      <c r="B54" s="3" t="inlineStr">
        <is>
          <t>Arcane Coil Helmet</t>
        </is>
      </c>
      <c r="C54" s="3" t="inlineStr">
        <is>
          <t>Skins</t>
        </is>
      </c>
      <c r="D54" s="4" t="n">
        <v>1000</v>
      </c>
      <c r="E54" s="4" t="n">
        <v>2666</v>
      </c>
      <c r="F54" s="3" t="n">
        <v>43</v>
      </c>
      <c r="G54" s="3" t="n">
        <v>3</v>
      </c>
      <c r="H54" s="3" t="n">
        <v>5</v>
      </c>
      <c r="I54" s="3" t="n">
        <v>1.86</v>
      </c>
      <c r="J54" s="3" t="n">
        <v>2</v>
      </c>
      <c r="K54" s="4" t="n">
        <v>2666</v>
      </c>
      <c r="L54" s="3" t="n">
        <v>0</v>
      </c>
      <c r="M54" s="5">
        <f>IF(MAX($J$2:$J$189)&lt;=0,0,LOG10(J54+1)/LOG10(MAX($J$2:$J$189)+1)*100)*$Q$2+IF(MAX($K$2:$K$189)&lt;=0,0,LOG10(K54+1)/LOG10(MAX($K$2:$K$189)+1)*100)*$Q$3+IF(MAX($F$2:$F$189)&lt;=0,0,LOG10(F54+1)/LOG10(MAX($F$2:$F$189)+1)*100)*$Q$4</f>
        <v/>
      </c>
      <c r="N54" s="6" t="n"/>
      <c r="O54" s="7" t="inlineStr">
        <is>
          <t>brak (surowiec końcowy / nie jest komponentem)</t>
        </is>
      </c>
      <c r="P54" s="3" t="inlineStr">
        <is>
          <t>N/A (Overframe wyłączony w config.py)</t>
        </is>
      </c>
      <c r="Q54" s="3" t="inlineStr">
        <is>
          <t>This helmet is worn by Mag, gives increased Ability Range with a drain on Shields.</t>
        </is>
      </c>
      <c r="R54" s="3" t="inlineStr">
        <is>
          <t>2026-07-26 14:33</t>
        </is>
      </c>
    </row>
    <row r="55">
      <c r="A55" s="3" t="n">
        <v>54</v>
      </c>
      <c r="B55" s="3" t="inlineStr">
        <is>
          <t>Secondary Cryogenic</t>
        </is>
      </c>
      <c r="C55" s="3" t="inlineStr">
        <is>
          <t>Arcanes</t>
        </is>
      </c>
      <c r="D55" s="4" t="n">
        <v>3</v>
      </c>
      <c r="E55" s="4" t="n">
        <v>3</v>
      </c>
      <c r="F55" s="3" t="n">
        <v>38</v>
      </c>
      <c r="G55" s="3" t="n">
        <v>33</v>
      </c>
      <c r="H55" s="3" t="n">
        <v>46</v>
      </c>
      <c r="I55" s="3" t="n">
        <v>26.1</v>
      </c>
      <c r="J55" s="3" t="n">
        <v>25</v>
      </c>
      <c r="K55" s="4" t="n">
        <v>3</v>
      </c>
      <c r="L55" s="3" t="n">
        <v>0</v>
      </c>
      <c r="M55" s="5">
        <f>IF(MAX($J$2:$J$189)&lt;=0,0,LOG10(J55+1)/LOG10(MAX($J$2:$J$189)+1)*100)*$Q$2+IF(MAX($K$2:$K$189)&lt;=0,0,LOG10(K55+1)/LOG10(MAX($K$2:$K$189)+1)*100)*$Q$3+IF(MAX($F$2:$F$189)&lt;=0,0,LOG10(F55+1)/LOG10(MAX($F$2:$F$189)+1)*100)*$Q$4</f>
        <v/>
      </c>
      <c r="N55" s="6" t="n">
        <v>0.11</v>
      </c>
      <c r="O55" s="7" t="inlineStr">
        <is>
          <t>brak (surowiec końcowy / nie jest komponentem)</t>
        </is>
      </c>
      <c r="P55" s="3" t="inlineStr">
        <is>
          <t>N/A (Overframe wyłączony w config.py)</t>
        </is>
      </c>
      <c r="Q55" s="3" t="inlineStr">
        <is>
          <t>Brak opisu w WFCD - sprawdź ręcznie: https://wiki.warframe.com/w/Secondary_Cryogenic</t>
        </is>
      </c>
      <c r="R55" s="3" t="inlineStr">
        <is>
          <t>2026-07-26 14:33</t>
        </is>
      </c>
    </row>
    <row r="56">
      <c r="A56" s="3" t="n">
        <v>55</v>
      </c>
      <c r="B56" s="3" t="inlineStr">
        <is>
          <t>Magus Repair</t>
        </is>
      </c>
      <c r="C56" s="3" t="inlineStr">
        <is>
          <t>Arcanes</t>
        </is>
      </c>
      <c r="D56" s="4" t="n">
        <v>5</v>
      </c>
      <c r="E56" s="4" t="n">
        <v>6.6</v>
      </c>
      <c r="F56" s="3" t="n">
        <v>38</v>
      </c>
      <c r="G56" s="3" t="n">
        <v>30</v>
      </c>
      <c r="H56" s="3" t="n">
        <v>34</v>
      </c>
      <c r="I56" s="3" t="n">
        <v>9.720000000000001</v>
      </c>
      <c r="J56" s="3" t="n">
        <v>13</v>
      </c>
      <c r="K56" s="4" t="n">
        <v>6.6</v>
      </c>
      <c r="L56" s="3" t="n">
        <v>0</v>
      </c>
      <c r="M56" s="5">
        <f>IF(MAX($J$2:$J$189)&lt;=0,0,LOG10(J56+1)/LOG10(MAX($J$2:$J$189)+1)*100)*$Q$2+IF(MAX($K$2:$K$189)&lt;=0,0,LOG10(K56+1)/LOG10(MAX($K$2:$K$189)+1)*100)*$Q$3+IF(MAX($F$2:$F$189)&lt;=0,0,LOG10(F56+1)/LOG10(MAX($F$2:$F$189)+1)*100)*$Q$4</f>
        <v/>
      </c>
      <c r="N56" s="6" t="n">
        <v>0.9399999999999999</v>
      </c>
      <c r="O56" s="7" t="inlineStr">
        <is>
          <t>brak (surowiec końcowy / nie jest komponentem)</t>
        </is>
      </c>
      <c r="P56" s="3" t="inlineStr">
        <is>
          <t>N/A (Overframe wyłączony w config.py)</t>
        </is>
      </c>
      <c r="Q56" s="3" t="inlineStr">
        <is>
          <t>Brak opisu w WFCD - sprawdź ręcznie: https://wiki.warframe.com/w/Magus_Repair</t>
        </is>
      </c>
      <c r="R56" s="3" t="inlineStr">
        <is>
          <t>2026-07-26 14:33</t>
        </is>
      </c>
    </row>
    <row r="57">
      <c r="A57" s="3" t="n">
        <v>56</v>
      </c>
      <c r="B57" s="3" t="inlineStr">
        <is>
          <t>Secondary Enervate</t>
        </is>
      </c>
      <c r="C57" s="3" t="inlineStr">
        <is>
          <t>Arcanes</t>
        </is>
      </c>
      <c r="D57" s="4" t="n">
        <v>2</v>
      </c>
      <c r="E57" s="4" t="n">
        <v>2</v>
      </c>
      <c r="F57" s="3" t="n">
        <v>37</v>
      </c>
      <c r="G57" s="3" t="n">
        <v>105</v>
      </c>
      <c r="H57" s="3" t="n">
        <v>602</v>
      </c>
      <c r="I57" s="3" t="n">
        <v>215.29</v>
      </c>
      <c r="J57" s="3" t="n">
        <v>258</v>
      </c>
      <c r="K57" s="4" t="n">
        <v>2</v>
      </c>
      <c r="L57" s="3" t="n">
        <v>0</v>
      </c>
      <c r="M57" s="5">
        <f>IF(MAX($J$2:$J$189)&lt;=0,0,LOG10(J57+1)/LOG10(MAX($J$2:$J$189)+1)*100)*$Q$2+IF(MAX($K$2:$K$189)&lt;=0,0,LOG10(K57+1)/LOG10(MAX($K$2:$K$189)+1)*100)*$Q$3+IF(MAX($F$2:$F$189)&lt;=0,0,LOG10(F57+1)/LOG10(MAX($F$2:$F$189)+1)*100)*$Q$4</f>
        <v/>
      </c>
      <c r="N57" s="6" t="n">
        <v>0.04</v>
      </c>
      <c r="O57" s="7" t="inlineStr">
        <is>
          <t>brak (surowiec końcowy / nie jest komponentem)</t>
        </is>
      </c>
      <c r="P57" s="3" t="inlineStr">
        <is>
          <t>N/A (Overframe wyłączony w config.py)</t>
        </is>
      </c>
      <c r="Q57" s="3" t="inlineStr">
        <is>
          <t>Brak opisu w WFCD - sprawdź ręcznie: https://wiki.warframe.com/w/Secondary_Enervate</t>
        </is>
      </c>
      <c r="R57" s="3" t="inlineStr">
        <is>
          <t>2026-07-26 14:33</t>
        </is>
      </c>
    </row>
    <row r="58">
      <c r="A58" s="3" t="n">
        <v>57</v>
      </c>
      <c r="B58" s="3" t="inlineStr">
        <is>
          <t>Arcane Concentration</t>
        </is>
      </c>
      <c r="C58" s="3" t="inlineStr">
        <is>
          <t>Arcanes</t>
        </is>
      </c>
      <c r="D58" s="4" t="n">
        <v>2</v>
      </c>
      <c r="E58" s="4" t="n">
        <v>2</v>
      </c>
      <c r="F58" s="3" t="n">
        <v>35</v>
      </c>
      <c r="G58" s="3" t="n">
        <v>62</v>
      </c>
      <c r="H58" s="3" t="n">
        <v>488</v>
      </c>
      <c r="I58" s="3" t="n">
        <v>134.14</v>
      </c>
      <c r="J58" s="3" t="n">
        <v>189</v>
      </c>
      <c r="K58" s="4" t="n">
        <v>2</v>
      </c>
      <c r="L58" s="3" t="n">
        <v>0</v>
      </c>
      <c r="M58" s="5">
        <f>IF(MAX($J$2:$J$189)&lt;=0,0,LOG10(J58+1)/LOG10(MAX($J$2:$J$189)+1)*100)*$Q$2+IF(MAX($K$2:$K$189)&lt;=0,0,LOG10(K58+1)/LOG10(MAX($K$2:$K$189)+1)*100)*$Q$3+IF(MAX($F$2:$F$189)&lt;=0,0,LOG10(F58+1)/LOG10(MAX($F$2:$F$189)+1)*100)*$Q$4</f>
        <v/>
      </c>
      <c r="N58" s="6" t="n">
        <v>0.02</v>
      </c>
      <c r="O58" s="7" t="inlineStr">
        <is>
          <t>brak (surowiec końcowy / nie jest komponentem)</t>
        </is>
      </c>
      <c r="P58" s="3" t="inlineStr">
        <is>
          <t>N/A (Overframe wyłączony w config.py)</t>
        </is>
      </c>
      <c r="Q58" s="3" t="inlineStr">
        <is>
          <t>Brak opisu w WFCD - sprawdź ręcznie: https://wiki.warframe.com/w/Arcane_Concentration</t>
        </is>
      </c>
      <c r="R58" s="3" t="inlineStr">
        <is>
          <t>2026-07-26 14:33</t>
        </is>
      </c>
    </row>
    <row r="59">
      <c r="A59" s="3" t="n">
        <v>58</v>
      </c>
      <c r="B59" s="3" t="inlineStr">
        <is>
          <t>Arcane Blessing</t>
        </is>
      </c>
      <c r="C59" s="3" t="inlineStr">
        <is>
          <t>Arcanes</t>
        </is>
      </c>
      <c r="D59" s="4" t="n">
        <v>2</v>
      </c>
      <c r="E59" s="4" t="n">
        <v>2.6</v>
      </c>
      <c r="F59" s="3" t="n">
        <v>35</v>
      </c>
      <c r="G59" s="3" t="n">
        <v>31</v>
      </c>
      <c r="H59" s="3" t="n">
        <v>298</v>
      </c>
      <c r="I59" s="3" t="n">
        <v>69.97</v>
      </c>
      <c r="J59" s="3" t="n">
        <v>109</v>
      </c>
      <c r="K59" s="4" t="n">
        <v>2.6</v>
      </c>
      <c r="L59" s="3" t="n">
        <v>0</v>
      </c>
      <c r="M59" s="5">
        <f>IF(MAX($J$2:$J$189)&lt;=0,0,LOG10(J59+1)/LOG10(MAX($J$2:$J$189)+1)*100)*$Q$2+IF(MAX($K$2:$K$189)&lt;=0,0,LOG10(K59+1)/LOG10(MAX($K$2:$K$189)+1)*100)*$Q$3+IF(MAX($F$2:$F$189)&lt;=0,0,LOG10(F59+1)/LOG10(MAX($F$2:$F$189)+1)*100)*$Q$4</f>
        <v/>
      </c>
      <c r="N59" s="6" t="n">
        <v>0.04</v>
      </c>
      <c r="O59" s="7" t="inlineStr">
        <is>
          <t>brak (surowiec końcowy / nie jest komponentem)</t>
        </is>
      </c>
      <c r="P59" s="3" t="inlineStr">
        <is>
          <t>N/A (Overframe wyłączony w config.py)</t>
        </is>
      </c>
      <c r="Q59" s="3" t="inlineStr">
        <is>
          <t>Brak opisu w WFCD - sprawdź ręcznie: https://wiki.warframe.com/w/Arcane_Blessing</t>
        </is>
      </c>
      <c r="R59" s="3" t="inlineStr">
        <is>
          <t>2026-07-26 14:33</t>
        </is>
      </c>
    </row>
    <row r="60">
      <c r="A60" s="3" t="n">
        <v>59</v>
      </c>
      <c r="B60" s="3" t="inlineStr">
        <is>
          <t>Molt Efficiency</t>
        </is>
      </c>
      <c r="C60" s="3" t="inlineStr">
        <is>
          <t>Arcanes</t>
        </is>
      </c>
      <c r="D60" s="4" t="n">
        <v>2</v>
      </c>
      <c r="E60" s="4" t="n">
        <v>2.6</v>
      </c>
      <c r="F60" s="3" t="n">
        <v>33</v>
      </c>
      <c r="G60" s="3" t="n">
        <v>64</v>
      </c>
      <c r="H60" s="3" t="n">
        <v>251</v>
      </c>
      <c r="I60" s="3" t="n">
        <v>86.38</v>
      </c>
      <c r="J60" s="3" t="n">
        <v>106</v>
      </c>
      <c r="K60" s="4" t="n">
        <v>2.6</v>
      </c>
      <c r="L60" s="3" t="n">
        <v>0</v>
      </c>
      <c r="M60" s="5">
        <f>IF(MAX($J$2:$J$189)&lt;=0,0,LOG10(J60+1)/LOG10(MAX($J$2:$J$189)+1)*100)*$Q$2+IF(MAX($K$2:$K$189)&lt;=0,0,LOG10(K60+1)/LOG10(MAX($K$2:$K$189)+1)*100)*$Q$3+IF(MAX($F$2:$F$189)&lt;=0,0,LOG10(F60+1)/LOG10(MAX($F$2:$F$189)+1)*100)*$Q$4</f>
        <v/>
      </c>
      <c r="N60" s="6" t="n">
        <v>0.37</v>
      </c>
      <c r="O60" s="7" t="inlineStr">
        <is>
          <t>brak (surowiec końcowy / nie jest komponentem)</t>
        </is>
      </c>
      <c r="P60" s="3" t="inlineStr">
        <is>
          <t>N/A (Overframe wyłączony w config.py)</t>
        </is>
      </c>
      <c r="Q60" s="3" t="inlineStr">
        <is>
          <t>Brak opisu w WFCD - sprawdź ręcznie: https://wiki.warframe.com/w/Molt_Efficiency</t>
        </is>
      </c>
      <c r="R60" s="3" t="inlineStr">
        <is>
          <t>2026-07-26 14:33</t>
        </is>
      </c>
    </row>
    <row r="61">
      <c r="A61" s="3" t="n">
        <v>60</v>
      </c>
      <c r="B61" s="3" t="inlineStr">
        <is>
          <t>Primary Plated Round</t>
        </is>
      </c>
      <c r="C61" s="3" t="inlineStr">
        <is>
          <t>Arcanes</t>
        </is>
      </c>
      <c r="D61" s="4" t="n">
        <v>3</v>
      </c>
      <c r="E61" s="4" t="n">
        <v>5.8</v>
      </c>
      <c r="F61" s="3" t="n">
        <v>33</v>
      </c>
      <c r="G61" s="3" t="n">
        <v>23</v>
      </c>
      <c r="H61" s="3" t="n">
        <v>9</v>
      </c>
      <c r="I61" s="3" t="n">
        <v>8.16</v>
      </c>
      <c r="J61" s="3" t="n">
        <v>6</v>
      </c>
      <c r="K61" s="4" t="n">
        <v>5.8</v>
      </c>
      <c r="L61" s="3" t="n">
        <v>0</v>
      </c>
      <c r="M61" s="5">
        <f>IF(MAX($J$2:$J$189)&lt;=0,0,LOG10(J61+1)/LOG10(MAX($J$2:$J$189)+1)*100)*$Q$2+IF(MAX($K$2:$K$189)&lt;=0,0,LOG10(K61+1)/LOG10(MAX($K$2:$K$189)+1)*100)*$Q$3+IF(MAX($F$2:$F$189)&lt;=0,0,LOG10(F61+1)/LOG10(MAX($F$2:$F$189)+1)*100)*$Q$4</f>
        <v/>
      </c>
      <c r="N61" s="6" t="n">
        <v>0.06</v>
      </c>
      <c r="O61" s="7" t="inlineStr">
        <is>
          <t>brak (surowiec końcowy / nie jest komponentem)</t>
        </is>
      </c>
      <c r="P61" s="3" t="inlineStr">
        <is>
          <t>N/A (Overframe wyłączony w config.py)</t>
        </is>
      </c>
      <c r="Q61" s="3" t="inlineStr">
        <is>
          <t>Brak opisu w WFCD - sprawdź ręcznie: https://wiki.warframe.com/w/Primary_Plated_Round</t>
        </is>
      </c>
      <c r="R61" s="3" t="inlineStr">
        <is>
          <t>2026-07-26 14:33</t>
        </is>
      </c>
    </row>
    <row r="62">
      <c r="A62" s="3" t="n">
        <v>61</v>
      </c>
      <c r="B62" s="3" t="inlineStr">
        <is>
          <t>Arcane Pendragon Helmet</t>
        </is>
      </c>
      <c r="C62" s="3" t="inlineStr">
        <is>
          <t>Skins</t>
        </is>
      </c>
      <c r="D62" s="4" t="n">
        <v>1000</v>
      </c>
      <c r="E62" s="4" t="n">
        <v>1249.5</v>
      </c>
      <c r="F62" s="3" t="n">
        <v>33</v>
      </c>
      <c r="G62" s="3" t="n">
        <v>2</v>
      </c>
      <c r="H62" s="3" t="n">
        <v>0</v>
      </c>
      <c r="I62" s="3" t="n">
        <v>1.44</v>
      </c>
      <c r="J62" s="3" t="n">
        <v>1</v>
      </c>
      <c r="K62" s="4" t="n">
        <v>1249.5</v>
      </c>
      <c r="L62" s="3" t="n">
        <v>0</v>
      </c>
      <c r="M62" s="5">
        <f>IF(MAX($J$2:$J$189)&lt;=0,0,LOG10(J62+1)/LOG10(MAX($J$2:$J$189)+1)*100)*$Q$2+IF(MAX($K$2:$K$189)&lt;=0,0,LOG10(K62+1)/LOG10(MAX($K$2:$K$189)+1)*100)*$Q$3+IF(MAX($F$2:$F$189)&lt;=0,0,LOG10(F62+1)/LOG10(MAX($F$2:$F$189)+1)*100)*$Q$4</f>
        <v/>
      </c>
      <c r="N62" s="6" t="n"/>
      <c r="O62" s="7" t="inlineStr">
        <is>
          <t>brak (surowiec końcowy / nie jest komponentem)</t>
        </is>
      </c>
      <c r="P62" s="3" t="inlineStr">
        <is>
          <t>N/A (Overframe wyłączony w config.py)</t>
        </is>
      </c>
      <c r="Q62" s="3" t="inlineStr">
        <is>
          <t>This helmet is worn by Excalibur, and adds Ability Strength, with a reduction to Armor.</t>
        </is>
      </c>
      <c r="R62" s="3" t="inlineStr">
        <is>
          <t>2026-07-26 14:33</t>
        </is>
      </c>
    </row>
    <row r="63">
      <c r="A63" s="3" t="n">
        <v>62</v>
      </c>
      <c r="B63" s="3" t="inlineStr">
        <is>
          <t>Cascadia Overcharge</t>
        </is>
      </c>
      <c r="C63" s="3" t="inlineStr">
        <is>
          <t>Arcanes</t>
        </is>
      </c>
      <c r="D63" s="4" t="n">
        <v>2</v>
      </c>
      <c r="E63" s="4" t="n">
        <v>5.8</v>
      </c>
      <c r="F63" s="3" t="n">
        <v>32</v>
      </c>
      <c r="G63" s="3" t="n">
        <v>34</v>
      </c>
      <c r="H63" s="3" t="n">
        <v>227</v>
      </c>
      <c r="I63" s="3" t="n">
        <v>32.72</v>
      </c>
      <c r="J63" s="3" t="n">
        <v>73</v>
      </c>
      <c r="K63" s="4" t="n">
        <v>5.8</v>
      </c>
      <c r="L63" s="3" t="n">
        <v>0</v>
      </c>
      <c r="M63" s="5">
        <f>IF(MAX($J$2:$J$189)&lt;=0,0,LOG10(J63+1)/LOG10(MAX($J$2:$J$189)+1)*100)*$Q$2+IF(MAX($K$2:$K$189)&lt;=0,0,LOG10(K63+1)/LOG10(MAX($K$2:$K$189)+1)*100)*$Q$3+IF(MAX($F$2:$F$189)&lt;=0,0,LOG10(F63+1)/LOG10(MAX($F$2:$F$189)+1)*100)*$Q$4</f>
        <v/>
      </c>
      <c r="N63" s="6" t="n">
        <v>0.83</v>
      </c>
      <c r="O63" s="7" t="inlineStr">
        <is>
          <t>brak (surowiec końcowy / nie jest komponentem)</t>
        </is>
      </c>
      <c r="P63" s="3" t="inlineStr">
        <is>
          <t>N/A (Overframe wyłączony w config.py)</t>
        </is>
      </c>
      <c r="Q63" s="3" t="inlineStr">
        <is>
          <t>Brak opisu w WFCD - sprawdź ręcznie: https://wiki.warframe.com/w/Cascadia_Overcharge</t>
        </is>
      </c>
      <c r="R63" s="3" t="inlineStr">
        <is>
          <t>2026-07-26 14:33</t>
        </is>
      </c>
    </row>
    <row r="64">
      <c r="A64" s="3" t="n">
        <v>63</v>
      </c>
      <c r="B64" s="3" t="inlineStr">
        <is>
          <t>Arcane Storm Helmet</t>
        </is>
      </c>
      <c r="C64" s="3" t="inlineStr">
        <is>
          <t>Skins</t>
        </is>
      </c>
      <c r="D64" s="4" t="n">
        <v>600</v>
      </c>
      <c r="E64" s="4" t="n">
        <v>750</v>
      </c>
      <c r="F64" s="3" t="n">
        <v>32</v>
      </c>
      <c r="G64" s="3" t="n">
        <v>2</v>
      </c>
      <c r="H64" s="3" t="n">
        <v>1</v>
      </c>
      <c r="I64" s="3" t="n">
        <v>1.48</v>
      </c>
      <c r="J64" s="3" t="n">
        <v>1</v>
      </c>
      <c r="K64" s="4" t="n">
        <v>750</v>
      </c>
      <c r="L64" s="3" t="n">
        <v>0</v>
      </c>
      <c r="M64" s="5">
        <f>IF(MAX($J$2:$J$189)&lt;=0,0,LOG10(J64+1)/LOG10(MAX($J$2:$J$189)+1)*100)*$Q$2+IF(MAX($K$2:$K$189)&lt;=0,0,LOG10(K64+1)/LOG10(MAX($K$2:$K$189)+1)*100)*$Q$3+IF(MAX($F$2:$F$189)&lt;=0,0,LOG10(F64+1)/LOG10(MAX($F$2:$F$189)+1)*100)*$Q$4</f>
        <v/>
      </c>
      <c r="N64" s="6" t="n"/>
      <c r="O64" s="7" t="inlineStr">
        <is>
          <t>brak (surowiec końcowy / nie jest komponentem)</t>
        </is>
      </c>
      <c r="P64" s="3" t="inlineStr">
        <is>
          <t>N/A (Overframe wyłączony w config.py)</t>
        </is>
      </c>
      <c r="Q64" s="3" t="inlineStr">
        <is>
          <t>This helmet is worn by Volt, and increases Ability Strength, but reduces duration of Aim Glide and Wall Latch.</t>
        </is>
      </c>
      <c r="R64" s="3" t="inlineStr">
        <is>
          <t>2026-07-26 14:33</t>
        </is>
      </c>
    </row>
    <row r="65">
      <c r="A65" s="3" t="n">
        <v>64</v>
      </c>
      <c r="B65" s="3" t="inlineStr">
        <is>
          <t>Theorem Infection</t>
        </is>
      </c>
      <c r="C65" s="3" t="inlineStr">
        <is>
          <t>Arcanes</t>
        </is>
      </c>
      <c r="D65" s="4" t="n">
        <v>5</v>
      </c>
      <c r="E65" s="4" t="n">
        <v>6.6</v>
      </c>
      <c r="F65" s="3" t="n">
        <v>31</v>
      </c>
      <c r="G65" s="3" t="n">
        <v>23</v>
      </c>
      <c r="H65" s="3" t="n">
        <v>32</v>
      </c>
      <c r="I65" s="3" t="n">
        <v>7.75</v>
      </c>
      <c r="J65" s="3" t="n">
        <v>12</v>
      </c>
      <c r="K65" s="4" t="n">
        <v>6.6</v>
      </c>
      <c r="L65" s="3" t="n">
        <v>0</v>
      </c>
      <c r="M65" s="5">
        <f>IF(MAX($J$2:$J$189)&lt;=0,0,LOG10(J65+1)/LOG10(MAX($J$2:$J$189)+1)*100)*$Q$2+IF(MAX($K$2:$K$189)&lt;=0,0,LOG10(K65+1)/LOG10(MAX($K$2:$K$189)+1)*100)*$Q$3+IF(MAX($F$2:$F$189)&lt;=0,0,LOG10(F65+1)/LOG10(MAX($F$2:$F$189)+1)*100)*$Q$4</f>
        <v/>
      </c>
      <c r="N65" s="6" t="n">
        <v>0.2</v>
      </c>
      <c r="O65" s="7" t="inlineStr">
        <is>
          <t>brak (surowiec końcowy / nie jest komponentem)</t>
        </is>
      </c>
      <c r="P65" s="3" t="inlineStr">
        <is>
          <t>N/A (Overframe wyłączony w config.py)</t>
        </is>
      </c>
      <c r="Q65" s="3" t="inlineStr">
        <is>
          <t>Brak opisu w WFCD - sprawdź ręcznie: https://wiki.warframe.com/w/Theorem_Infection</t>
        </is>
      </c>
      <c r="R65" s="3" t="inlineStr">
        <is>
          <t>2026-07-26 14:33</t>
        </is>
      </c>
    </row>
    <row r="66">
      <c r="A66" s="3" t="n">
        <v>65</v>
      </c>
      <c r="B66" s="3" t="inlineStr">
        <is>
          <t>Arcane Bellicose</t>
        </is>
      </c>
      <c r="C66" s="3" t="inlineStr">
        <is>
          <t>Arcanes</t>
        </is>
      </c>
      <c r="D66" s="4" t="n">
        <v>2</v>
      </c>
      <c r="E66" s="4" t="n">
        <v>2</v>
      </c>
      <c r="F66" s="3" t="n">
        <v>29</v>
      </c>
      <c r="G66" s="3" t="n">
        <v>80</v>
      </c>
      <c r="H66" s="3" t="n">
        <v>650</v>
      </c>
      <c r="I66" s="3" t="n">
        <v>132.74</v>
      </c>
      <c r="J66" s="3" t="n">
        <v>229</v>
      </c>
      <c r="K66" s="4" t="n">
        <v>2</v>
      </c>
      <c r="L66" s="3" t="n">
        <v>0</v>
      </c>
      <c r="M66" s="5">
        <f>IF(MAX($J$2:$J$189)&lt;=0,0,LOG10(J66+1)/LOG10(MAX($J$2:$J$189)+1)*100)*$Q$2+IF(MAX($K$2:$K$189)&lt;=0,0,LOG10(K66+1)/LOG10(MAX($K$2:$K$189)+1)*100)*$Q$3+IF(MAX($F$2:$F$189)&lt;=0,0,LOG10(F66+1)/LOG10(MAX($F$2:$F$189)+1)*100)*$Q$4</f>
        <v/>
      </c>
      <c r="N66" s="6" t="n">
        <v>0.04</v>
      </c>
      <c r="O66" s="7" t="inlineStr">
        <is>
          <t>brak (surowiec końcowy / nie jest komponentem)</t>
        </is>
      </c>
      <c r="P66" s="3" t="inlineStr">
        <is>
          <t>N/A (Overframe wyłączony w config.py)</t>
        </is>
      </c>
      <c r="Q66" s="3" t="inlineStr">
        <is>
          <t>Brak opisu w WFCD - sprawdź ręcznie: https://wiki.warframe.com/w/Arcane_Bellicose</t>
        </is>
      </c>
      <c r="R66" s="3" t="inlineStr">
        <is>
          <t>2026-07-26 14:33</t>
        </is>
      </c>
    </row>
    <row r="67">
      <c r="A67" s="3" t="n">
        <v>66</v>
      </c>
      <c r="B67" s="3" t="inlineStr">
        <is>
          <t>Primary Overcharge</t>
        </is>
      </c>
      <c r="C67" s="3" t="inlineStr">
        <is>
          <t>Arcanes</t>
        </is>
      </c>
      <c r="D67" s="4" t="n">
        <v>2</v>
      </c>
      <c r="E67" s="4" t="n">
        <v>2</v>
      </c>
      <c r="F67" s="3" t="n">
        <v>29</v>
      </c>
      <c r="G67" s="3" t="n">
        <v>36</v>
      </c>
      <c r="H67" s="3" t="n">
        <v>93</v>
      </c>
      <c r="I67" s="3" t="n">
        <v>28.36</v>
      </c>
      <c r="J67" s="3" t="n">
        <v>37</v>
      </c>
      <c r="K67" s="4" t="n">
        <v>2</v>
      </c>
      <c r="L67" s="3" t="n">
        <v>0</v>
      </c>
      <c r="M67" s="5">
        <f>IF(MAX($J$2:$J$189)&lt;=0,0,LOG10(J67+1)/LOG10(MAX($J$2:$J$189)+1)*100)*$Q$2+IF(MAX($K$2:$K$189)&lt;=0,0,LOG10(K67+1)/LOG10(MAX($K$2:$K$189)+1)*100)*$Q$3+IF(MAX($F$2:$F$189)&lt;=0,0,LOG10(F67+1)/LOG10(MAX($F$2:$F$189)+1)*100)*$Q$4</f>
        <v/>
      </c>
      <c r="N67" s="6" t="n">
        <v>0.02</v>
      </c>
      <c r="O67" s="7" t="inlineStr">
        <is>
          <t>brak (surowiec końcowy / nie jest komponentem)</t>
        </is>
      </c>
      <c r="P67" s="3" t="inlineStr">
        <is>
          <t>N/A (Overframe wyłączony w config.py)</t>
        </is>
      </c>
      <c r="Q67" s="3" t="inlineStr">
        <is>
          <t>Brak opisu w WFCD - sprawdź ręcznie: https://wiki.warframe.com/w/Primary_Overcharge</t>
        </is>
      </c>
      <c r="R67" s="3" t="inlineStr">
        <is>
          <t>2026-07-26 14:33</t>
        </is>
      </c>
    </row>
    <row r="68">
      <c r="A68" s="3" t="n">
        <v>67</v>
      </c>
      <c r="B68" s="3" t="inlineStr">
        <is>
          <t>Arcane Crepuscular</t>
        </is>
      </c>
      <c r="C68" s="3" t="inlineStr">
        <is>
          <t>Arcanes</t>
        </is>
      </c>
      <c r="D68" s="4" t="n">
        <v>2</v>
      </c>
      <c r="E68" s="4" t="n">
        <v>2.2</v>
      </c>
      <c r="F68" s="3" t="n">
        <v>28</v>
      </c>
      <c r="G68" s="3" t="n">
        <v>83</v>
      </c>
      <c r="H68" s="3" t="n">
        <v>338</v>
      </c>
      <c r="I68" s="3" t="n">
        <v>157.8</v>
      </c>
      <c r="J68" s="3" t="n">
        <v>163</v>
      </c>
      <c r="K68" s="4" t="n">
        <v>2.2</v>
      </c>
      <c r="L68" s="3" t="n">
        <v>0</v>
      </c>
      <c r="M68" s="5">
        <f>IF(MAX($J$2:$J$189)&lt;=0,0,LOG10(J68+1)/LOG10(MAX($J$2:$J$189)+1)*100)*$Q$2+IF(MAX($K$2:$K$189)&lt;=0,0,LOG10(K68+1)/LOG10(MAX($K$2:$K$189)+1)*100)*$Q$3+IF(MAX($F$2:$F$189)&lt;=0,0,LOG10(F68+1)/LOG10(MAX($F$2:$F$189)+1)*100)*$Q$4</f>
        <v/>
      </c>
      <c r="N68" s="6" t="n">
        <v>0.04</v>
      </c>
      <c r="O68" s="7" t="inlineStr">
        <is>
          <t>brak (surowiec końcowy / nie jest komponentem)</t>
        </is>
      </c>
      <c r="P68" s="3" t="inlineStr">
        <is>
          <t>N/A (Overframe wyłączony w config.py)</t>
        </is>
      </c>
      <c r="Q68" s="3" t="inlineStr">
        <is>
          <t>Brak opisu w WFCD - sprawdź ręcznie: https://wiki.warframe.com/w/Arcane_Crepuscular</t>
        </is>
      </c>
      <c r="R68" s="3" t="inlineStr">
        <is>
          <t>2026-07-26 14:33</t>
        </is>
      </c>
    </row>
    <row r="69">
      <c r="A69" s="3" t="n">
        <v>68</v>
      </c>
      <c r="B69" s="3" t="inlineStr">
        <is>
          <t>Secondary Shiver</t>
        </is>
      </c>
      <c r="C69" s="3" t="inlineStr">
        <is>
          <t>Arcanes</t>
        </is>
      </c>
      <c r="D69" s="4" t="n">
        <v>5</v>
      </c>
      <c r="E69" s="4" t="n">
        <v>5.6</v>
      </c>
      <c r="F69" s="3" t="n">
        <v>28</v>
      </c>
      <c r="G69" s="3" t="n">
        <v>27</v>
      </c>
      <c r="H69" s="3" t="n">
        <v>96</v>
      </c>
      <c r="I69" s="3" t="n">
        <v>18.46</v>
      </c>
      <c r="J69" s="3" t="n">
        <v>33</v>
      </c>
      <c r="K69" s="4" t="n">
        <v>5.6</v>
      </c>
      <c r="L69" s="3" t="n">
        <v>0</v>
      </c>
      <c r="M69" s="5">
        <f>IF(MAX($J$2:$J$189)&lt;=0,0,LOG10(J69+1)/LOG10(MAX($J$2:$J$189)+1)*100)*$Q$2+IF(MAX($K$2:$K$189)&lt;=0,0,LOG10(K69+1)/LOG10(MAX($K$2:$K$189)+1)*100)*$Q$3+IF(MAX($F$2:$F$189)&lt;=0,0,LOG10(F69+1)/LOG10(MAX($F$2:$F$189)+1)*100)*$Q$4</f>
        <v/>
      </c>
      <c r="N69" s="6" t="n">
        <v>0.27</v>
      </c>
      <c r="O69" s="7" t="inlineStr">
        <is>
          <t>brak (surowiec końcowy / nie jest komponentem)</t>
        </is>
      </c>
      <c r="P69" s="3" t="inlineStr">
        <is>
          <t>N/A (Overframe wyłączony w config.py)</t>
        </is>
      </c>
      <c r="Q69" s="3" t="inlineStr">
        <is>
          <t>Brak opisu w WFCD - sprawdź ręcznie: https://wiki.warframe.com/w/Secondary_Shiver</t>
        </is>
      </c>
      <c r="R69" s="3" t="inlineStr">
        <is>
          <t>2026-07-26 14:33</t>
        </is>
      </c>
    </row>
    <row r="70">
      <c r="A70" s="3" t="n">
        <v>69</v>
      </c>
      <c r="B70" s="3" t="inlineStr">
        <is>
          <t>Arcane Pulse Helmet</t>
        </is>
      </c>
      <c r="C70" s="3" t="inlineStr">
        <is>
          <t>Skins</t>
        </is>
      </c>
      <c r="D70" s="4" t="n">
        <v>590</v>
      </c>
      <c r="E70" s="4" t="n">
        <v>590</v>
      </c>
      <c r="F70" s="3" t="n">
        <v>28</v>
      </c>
      <c r="G70" s="3" t="n">
        <v>1</v>
      </c>
      <c r="H70" s="3" t="n">
        <v>0</v>
      </c>
      <c r="I70" s="3" t="n">
        <v>1.23</v>
      </c>
      <c r="J70" s="3" t="n">
        <v>1</v>
      </c>
      <c r="K70" s="4" t="n">
        <v>590</v>
      </c>
      <c r="L70" s="3" t="n">
        <v>0</v>
      </c>
      <c r="M70" s="5">
        <f>IF(MAX($J$2:$J$189)&lt;=0,0,LOG10(J70+1)/LOG10(MAX($J$2:$J$189)+1)*100)*$Q$2+IF(MAX($K$2:$K$189)&lt;=0,0,LOG10(K70+1)/LOG10(MAX($K$2:$K$189)+1)*100)*$Q$3+IF(MAX($F$2:$F$189)&lt;=0,0,LOG10(F70+1)/LOG10(MAX($F$2:$F$189)+1)*100)*$Q$4</f>
        <v/>
      </c>
      <c r="N70" s="6" t="n"/>
      <c r="O70" s="7" t="inlineStr">
        <is>
          <t>brak (surowiec końcowy / nie jest komponentem)</t>
        </is>
      </c>
      <c r="P70" s="3" t="inlineStr">
        <is>
          <t>N/A (Overframe wyłączony w config.py)</t>
        </is>
      </c>
      <c r="Q70" s="3" t="inlineStr">
        <is>
          <t>This helmet is worn by Volt, and adds Ability Duration, with a reduction to Shields.</t>
        </is>
      </c>
      <c r="R70" s="3" t="inlineStr">
        <is>
          <t>2026-07-26 14:33</t>
        </is>
      </c>
    </row>
    <row r="71">
      <c r="A71" s="3" t="n">
        <v>70</v>
      </c>
      <c r="B71" s="3" t="inlineStr">
        <is>
          <t>Magus Glitch</t>
        </is>
      </c>
      <c r="C71" s="3" t="inlineStr">
        <is>
          <t>Arcanes</t>
        </is>
      </c>
      <c r="D71" s="4" t="n">
        <v>6</v>
      </c>
      <c r="E71" s="4" t="n">
        <v>7.8</v>
      </c>
      <c r="F71" s="3" t="n">
        <v>26</v>
      </c>
      <c r="G71" s="3" t="n">
        <v>19</v>
      </c>
      <c r="H71" s="3" t="n">
        <v>3</v>
      </c>
      <c r="I71" s="3" t="n">
        <v>3.53</v>
      </c>
      <c r="J71" s="3" t="n">
        <v>3</v>
      </c>
      <c r="K71" s="4" t="n">
        <v>7.8</v>
      </c>
      <c r="L71" s="3" t="n">
        <v>0</v>
      </c>
      <c r="M71" s="5">
        <f>IF(MAX($J$2:$J$189)&lt;=0,0,LOG10(J71+1)/LOG10(MAX($J$2:$J$189)+1)*100)*$Q$2+IF(MAX($K$2:$K$189)&lt;=0,0,LOG10(K71+1)/LOG10(MAX($K$2:$K$189)+1)*100)*$Q$3+IF(MAX($F$2:$F$189)&lt;=0,0,LOG10(F71+1)/LOG10(MAX($F$2:$F$189)+1)*100)*$Q$4</f>
        <v/>
      </c>
      <c r="N71" s="6" t="n">
        <v>1.11</v>
      </c>
      <c r="O71" s="7" t="inlineStr">
        <is>
          <t>brak (surowiec końcowy / nie jest komponentem)</t>
        </is>
      </c>
      <c r="P71" s="3" t="inlineStr">
        <is>
          <t>N/A (Overframe wyłączony w config.py)</t>
        </is>
      </c>
      <c r="Q71" s="3" t="inlineStr">
        <is>
          <t>Brak opisu w WFCD - sprawdź ręcznie: https://wiki.warframe.com/w/Magus_Glitch</t>
        </is>
      </c>
      <c r="R71" s="3" t="inlineStr">
        <is>
          <t>2026-07-26 14:33</t>
        </is>
      </c>
    </row>
    <row r="72">
      <c r="A72" s="3" t="n">
        <v>71</v>
      </c>
      <c r="B72" s="3" t="inlineStr">
        <is>
          <t>Magus Accelerant</t>
        </is>
      </c>
      <c r="C72" s="3" t="inlineStr">
        <is>
          <t>Arcanes</t>
        </is>
      </c>
      <c r="D72" s="4" t="n">
        <v>9</v>
      </c>
      <c r="E72" s="4" t="n">
        <v>28.4</v>
      </c>
      <c r="F72" s="3" t="n">
        <v>26</v>
      </c>
      <c r="G72" s="3" t="n">
        <v>18</v>
      </c>
      <c r="H72" s="3" t="n">
        <v>4</v>
      </c>
      <c r="I72" s="3" t="n">
        <v>3.25</v>
      </c>
      <c r="J72" s="3" t="n">
        <v>3</v>
      </c>
      <c r="K72" s="4" t="n">
        <v>28.4</v>
      </c>
      <c r="L72" s="3" t="n">
        <v>0</v>
      </c>
      <c r="M72" s="5">
        <f>IF(MAX($J$2:$J$189)&lt;=0,0,LOG10(J72+1)/LOG10(MAX($J$2:$J$189)+1)*100)*$Q$2+IF(MAX($K$2:$K$189)&lt;=0,0,LOG10(K72+1)/LOG10(MAX($K$2:$K$189)+1)*100)*$Q$3+IF(MAX($F$2:$F$189)&lt;=0,0,LOG10(F72+1)/LOG10(MAX($F$2:$F$189)+1)*100)*$Q$4</f>
        <v/>
      </c>
      <c r="N72" s="6" t="n">
        <v>4.06</v>
      </c>
      <c r="O72" s="7" t="inlineStr">
        <is>
          <t>brak (surowiec końcowy / nie jest komponentem)</t>
        </is>
      </c>
      <c r="P72" s="3" t="inlineStr">
        <is>
          <t>N/A (Overframe wyłączony w config.py)</t>
        </is>
      </c>
      <c r="Q72" s="3" t="inlineStr">
        <is>
          <t>Brak opisu w WFCD - sprawdź ręcznie: https://wiki.warframe.com/w/Magus_Accelerant</t>
        </is>
      </c>
      <c r="R72" s="3" t="inlineStr">
        <is>
          <t>2026-07-26 14:33</t>
        </is>
      </c>
    </row>
    <row r="73">
      <c r="A73" s="3" t="n">
        <v>72</v>
      </c>
      <c r="B73" s="3" t="inlineStr">
        <is>
          <t>Arcane Meridian Helmet</t>
        </is>
      </c>
      <c r="C73" s="3" t="inlineStr">
        <is>
          <t>Skins</t>
        </is>
      </c>
      <c r="D73" s="4" t="n">
        <v>400</v>
      </c>
      <c r="E73" s="4" t="n">
        <v>500</v>
      </c>
      <c r="F73" s="3" t="n">
        <v>26</v>
      </c>
      <c r="G73" s="3" t="n">
        <v>3</v>
      </c>
      <c r="H73" s="3" t="n">
        <v>0</v>
      </c>
      <c r="I73" s="3" t="n">
        <v>1.32</v>
      </c>
      <c r="J73" s="3" t="n">
        <v>1</v>
      </c>
      <c r="K73" s="4" t="n">
        <v>500</v>
      </c>
      <c r="L73" s="3" t="n">
        <v>0</v>
      </c>
      <c r="M73" s="5">
        <f>IF(MAX($J$2:$J$189)&lt;=0,0,LOG10(J73+1)/LOG10(MAX($J$2:$J$189)+1)*100)*$Q$2+IF(MAX($K$2:$K$189)&lt;=0,0,LOG10(K73+1)/LOG10(MAX($K$2:$K$189)+1)*100)*$Q$3+IF(MAX($F$2:$F$189)&lt;=0,0,LOG10(F73+1)/LOG10(MAX($F$2:$F$189)+1)*100)*$Q$4</f>
        <v/>
      </c>
      <c r="N73" s="6" t="n"/>
      <c r="O73" s="7" t="inlineStr">
        <is>
          <t>brak (surowiec końcowy / nie jest komponentem)</t>
        </is>
      </c>
      <c r="P73" s="3" t="inlineStr">
        <is>
          <t>N/A (Overframe wyłączony w config.py)</t>
        </is>
      </c>
      <c r="Q73" s="3" t="inlineStr">
        <is>
          <t>This helmet is worn by Trinity, and adds Shield Capacity, with a reduction to Ability Efficiency.</t>
        </is>
      </c>
      <c r="R73" s="3" t="inlineStr">
        <is>
          <t>2026-07-26 14:33</t>
        </is>
      </c>
    </row>
    <row r="74">
      <c r="A74" s="3" t="n">
        <v>73</v>
      </c>
      <c r="B74" s="3" t="inlineStr">
        <is>
          <t>Arcane Chorus Helmet</t>
        </is>
      </c>
      <c r="C74" s="3" t="inlineStr">
        <is>
          <t>Skins</t>
        </is>
      </c>
      <c r="D74" s="4" t="n">
        <v>300</v>
      </c>
      <c r="E74" s="4" t="n">
        <v>348.3</v>
      </c>
      <c r="F74" s="3" t="n">
        <v>25</v>
      </c>
      <c r="G74" s="3" t="n">
        <v>3</v>
      </c>
      <c r="H74" s="3" t="n">
        <v>0</v>
      </c>
      <c r="I74" s="3" t="n">
        <v>1.2</v>
      </c>
      <c r="J74" s="3" t="n">
        <v>1</v>
      </c>
      <c r="K74" s="4" t="n">
        <v>348.3</v>
      </c>
      <c r="L74" s="3" t="n">
        <v>0</v>
      </c>
      <c r="M74" s="5">
        <f>IF(MAX($J$2:$J$189)&lt;=0,0,LOG10(J74+1)/LOG10(MAX($J$2:$J$189)+1)*100)*$Q$2+IF(MAX($K$2:$K$189)&lt;=0,0,LOG10(K74+1)/LOG10(MAX($K$2:$K$189)+1)*100)*$Q$3+IF(MAX($F$2:$F$189)&lt;=0,0,LOG10(F74+1)/LOG10(MAX($F$2:$F$189)+1)*100)*$Q$4</f>
        <v/>
      </c>
      <c r="N74" s="6" t="n"/>
      <c r="O74" s="7" t="inlineStr">
        <is>
          <t>brak (surowiec końcowy / nie jest komponentem)</t>
        </is>
      </c>
      <c r="P74" s="3" t="inlineStr">
        <is>
          <t>N/A (Overframe wyłączony w config.py)</t>
        </is>
      </c>
      <c r="Q74" s="3" t="inlineStr">
        <is>
          <t>This helmet is worn by Banshee, and adds Ability Efficiency, but reduces duration of Aim Glide and Wall Latch.</t>
        </is>
      </c>
      <c r="R74" s="3" t="inlineStr">
        <is>
          <t>2026-07-26 14:33</t>
        </is>
      </c>
    </row>
    <row r="75">
      <c r="A75" s="3" t="n">
        <v>74</v>
      </c>
      <c r="B75" s="3" t="inlineStr">
        <is>
          <t>Arcane Barrier</t>
        </is>
      </c>
      <c r="C75" s="3" t="inlineStr">
        <is>
          <t>Arcanes</t>
        </is>
      </c>
      <c r="D75" s="4" t="n">
        <v>3</v>
      </c>
      <c r="E75" s="4" t="n">
        <v>3</v>
      </c>
      <c r="F75" s="3" t="n">
        <v>24</v>
      </c>
      <c r="G75" s="3" t="n">
        <v>55</v>
      </c>
      <c r="H75" s="3" t="n">
        <v>59</v>
      </c>
      <c r="I75" s="3" t="n">
        <v>25.76</v>
      </c>
      <c r="J75" s="3" t="n">
        <v>28</v>
      </c>
      <c r="K75" s="4" t="n">
        <v>3</v>
      </c>
      <c r="L75" s="3" t="n">
        <v>0</v>
      </c>
      <c r="M75" s="5">
        <f>IF(MAX($J$2:$J$189)&lt;=0,0,LOG10(J75+1)/LOG10(MAX($J$2:$J$189)+1)*100)*$Q$2+IF(MAX($K$2:$K$189)&lt;=0,0,LOG10(K75+1)/LOG10(MAX($K$2:$K$189)+1)*100)*$Q$3+IF(MAX($F$2:$F$189)&lt;=0,0,LOG10(F75+1)/LOG10(MAX($F$2:$F$189)+1)*100)*$Q$4</f>
        <v/>
      </c>
      <c r="N75" s="6" t="n">
        <v>0.02</v>
      </c>
      <c r="O75" s="7" t="inlineStr">
        <is>
          <t>brak (surowiec końcowy / nie jest komponentem)</t>
        </is>
      </c>
      <c r="P75" s="3" t="inlineStr">
        <is>
          <t>N/A (Overframe wyłączony w config.py)</t>
        </is>
      </c>
      <c r="Q75" s="3" t="inlineStr">
        <is>
          <t>Brak opisu w WFCD - sprawdź ręcznie: https://wiki.warframe.com/w/Arcane_Barrier</t>
        </is>
      </c>
      <c r="R75" s="3" t="inlineStr">
        <is>
          <t>2026-07-26 14:33</t>
        </is>
      </c>
    </row>
    <row r="76">
      <c r="A76" s="3" t="n">
        <v>75</v>
      </c>
      <c r="B76" s="3" t="inlineStr">
        <is>
          <t>Arcane Double Back</t>
        </is>
      </c>
      <c r="C76" s="3" t="inlineStr">
        <is>
          <t>Arcanes</t>
        </is>
      </c>
      <c r="D76" s="4" t="n">
        <v>3</v>
      </c>
      <c r="E76" s="4" t="n">
        <v>13.2</v>
      </c>
      <c r="F76" s="3" t="n">
        <v>24</v>
      </c>
      <c r="G76" s="3" t="n">
        <v>17</v>
      </c>
      <c r="H76" s="3" t="n">
        <v>8</v>
      </c>
      <c r="I76" s="3" t="n">
        <v>4.98</v>
      </c>
      <c r="J76" s="3" t="n">
        <v>4</v>
      </c>
      <c r="K76" s="4" t="n">
        <v>13.2</v>
      </c>
      <c r="L76" s="3" t="n">
        <v>0</v>
      </c>
      <c r="M76" s="5">
        <f>IF(MAX($J$2:$J$189)&lt;=0,0,LOG10(J76+1)/LOG10(MAX($J$2:$J$189)+1)*100)*$Q$2+IF(MAX($K$2:$K$189)&lt;=0,0,LOG10(K76+1)/LOG10(MAX($K$2:$K$189)+1)*100)*$Q$3+IF(MAX($F$2:$F$189)&lt;=0,0,LOG10(F76+1)/LOG10(MAX($F$2:$F$189)+1)*100)*$Q$4</f>
        <v/>
      </c>
      <c r="N76" s="6" t="n">
        <v>0.13</v>
      </c>
      <c r="O76" s="7" t="inlineStr">
        <is>
          <t>brak (surowiec końcowy / nie jest komponentem)</t>
        </is>
      </c>
      <c r="P76" s="3" t="inlineStr">
        <is>
          <t>N/A (Overframe wyłączony w config.py)</t>
        </is>
      </c>
      <c r="Q76" s="3" t="inlineStr">
        <is>
          <t>Brak opisu w WFCD - sprawdź ręcznie: https://wiki.warframe.com/w/Arcane_Double_Back</t>
        </is>
      </c>
      <c r="R76" s="3" t="inlineStr">
        <is>
          <t>2026-07-26 14:33</t>
        </is>
      </c>
    </row>
    <row r="77">
      <c r="A77" s="3" t="n">
        <v>76</v>
      </c>
      <c r="B77" s="3" t="inlineStr">
        <is>
          <t>Arcane Expertise</t>
        </is>
      </c>
      <c r="C77" s="3" t="inlineStr">
        <is>
          <t>Arcanes</t>
        </is>
      </c>
      <c r="D77" s="4" t="n">
        <v>2</v>
      </c>
      <c r="E77" s="4" t="n">
        <v>2</v>
      </c>
      <c r="F77" s="3" t="n">
        <v>23</v>
      </c>
      <c r="G77" s="3" t="n">
        <v>50</v>
      </c>
      <c r="H77" s="3" t="n">
        <v>232</v>
      </c>
      <c r="I77" s="3" t="n">
        <v>81.45</v>
      </c>
      <c r="J77" s="3" t="n">
        <v>99</v>
      </c>
      <c r="K77" s="4" t="n">
        <v>2</v>
      </c>
      <c r="L77" s="3" t="n">
        <v>0</v>
      </c>
      <c r="M77" s="5">
        <f>IF(MAX($J$2:$J$189)&lt;=0,0,LOG10(J77+1)/LOG10(MAX($J$2:$J$189)+1)*100)*$Q$2+IF(MAX($K$2:$K$189)&lt;=0,0,LOG10(K77+1)/LOG10(MAX($K$2:$K$189)+1)*100)*$Q$3+IF(MAX($F$2:$F$189)&lt;=0,0,LOG10(F77+1)/LOG10(MAX($F$2:$F$189)+1)*100)*$Q$4</f>
        <v/>
      </c>
      <c r="N77" s="6" t="n">
        <v>0.02</v>
      </c>
      <c r="O77" s="7" t="inlineStr">
        <is>
          <t>brak (surowiec końcowy / nie jest komponentem)</t>
        </is>
      </c>
      <c r="P77" s="3" t="inlineStr">
        <is>
          <t>N/A (Overframe wyłączony w config.py)</t>
        </is>
      </c>
      <c r="Q77" s="3" t="inlineStr">
        <is>
          <t>Brak opisu w WFCD - sprawdź ręcznie: https://wiki.warframe.com/w/Arcane_Expertise</t>
        </is>
      </c>
      <c r="R77" s="3" t="inlineStr">
        <is>
          <t>2026-07-26 14:33</t>
        </is>
      </c>
    </row>
    <row r="78">
      <c r="A78" s="3" t="n">
        <v>77</v>
      </c>
      <c r="B78" s="3" t="inlineStr">
        <is>
          <t>Magus Revert</t>
        </is>
      </c>
      <c r="C78" s="3" t="inlineStr">
        <is>
          <t>Arcanes</t>
        </is>
      </c>
      <c r="D78" s="4" t="n">
        <v>10</v>
      </c>
      <c r="E78" s="4" t="n">
        <v>118.8</v>
      </c>
      <c r="F78" s="3" t="n">
        <v>23</v>
      </c>
      <c r="G78" s="3" t="n">
        <v>11</v>
      </c>
      <c r="H78" s="3" t="n">
        <v>0</v>
      </c>
      <c r="I78" s="3" t="n">
        <v>2.31</v>
      </c>
      <c r="J78" s="3" t="n">
        <v>2</v>
      </c>
      <c r="K78" s="4" t="n">
        <v>118.8</v>
      </c>
      <c r="L78" s="3" t="n">
        <v>0</v>
      </c>
      <c r="M78" s="5">
        <f>IF(MAX($J$2:$J$189)&lt;=0,0,LOG10(J78+1)/LOG10(MAX($J$2:$J$189)+1)*100)*$Q$2+IF(MAX($K$2:$K$189)&lt;=0,0,LOG10(K78+1)/LOG10(MAX($K$2:$K$189)+1)*100)*$Q$3+IF(MAX($F$2:$F$189)&lt;=0,0,LOG10(F78+1)/LOG10(MAX($F$2:$F$189)+1)*100)*$Q$4</f>
        <v/>
      </c>
      <c r="N78" s="6" t="n">
        <v>16.97</v>
      </c>
      <c r="O78" s="7" t="inlineStr">
        <is>
          <t>brak (surowiec końcowy / nie jest komponentem)</t>
        </is>
      </c>
      <c r="P78" s="3" t="inlineStr">
        <is>
          <t>N/A (Overframe wyłączony w config.py)</t>
        </is>
      </c>
      <c r="Q78" s="3" t="inlineStr">
        <is>
          <t>Brak opisu w WFCD - sprawdź ręcznie: https://wiki.warframe.com/w/Magus_Revert</t>
        </is>
      </c>
      <c r="R78" s="3" t="inlineStr">
        <is>
          <t>2026-07-26 14:33</t>
        </is>
      </c>
    </row>
    <row r="79">
      <c r="A79" s="3" t="n">
        <v>78</v>
      </c>
      <c r="B79" s="3" t="inlineStr">
        <is>
          <t>Arcane Mag Gauss Helmet</t>
        </is>
      </c>
      <c r="C79" s="3" t="inlineStr">
        <is>
          <t>Skins</t>
        </is>
      </c>
      <c r="D79" s="4" t="n"/>
      <c r="E79" s="4" t="n"/>
      <c r="F79" s="3" t="n">
        <v>23</v>
      </c>
      <c r="G79" s="3" t="n">
        <v>0</v>
      </c>
      <c r="H79" s="3" t="n">
        <v>0</v>
      </c>
      <c r="I79" s="3" t="n">
        <v>1.38</v>
      </c>
      <c r="J79" s="3" t="n">
        <v>1</v>
      </c>
      <c r="K79" s="4" t="n">
        <v>0</v>
      </c>
      <c r="L79" s="3" t="n">
        <v>0</v>
      </c>
      <c r="M79" s="5">
        <f>IF(MAX($J$2:$J$189)&lt;=0,0,LOG10(J79+1)/LOG10(MAX($J$2:$J$189)+1)*100)*$Q$2+IF(MAX($K$2:$K$189)&lt;=0,0,LOG10(K79+1)/LOG10(MAX($K$2:$K$189)+1)*100)*$Q$3+IF(MAX($F$2:$F$189)&lt;=0,0,LOG10(F79+1)/LOG10(MAX($F$2:$F$189)+1)*100)*$Q$4</f>
        <v/>
      </c>
      <c r="N79" s="6" t="n"/>
      <c r="O79" s="7" t="inlineStr">
        <is>
          <t>brak (surowiec końcowy / nie jest komponentem)</t>
        </is>
      </c>
      <c r="P79" s="3" t="inlineStr">
        <is>
          <t>N/A (Overframe wyłączony w config.py)</t>
        </is>
      </c>
      <c r="Q79" s="3" t="inlineStr">
        <is>
          <t>This helmet is worn by Mag, and adds Max Energy, with a reduction to Speed.</t>
        </is>
      </c>
      <c r="R79" s="3" t="inlineStr">
        <is>
          <t>2026-07-26 14:33</t>
        </is>
      </c>
    </row>
    <row r="80">
      <c r="A80" s="3" t="n">
        <v>79</v>
      </c>
      <c r="B80" s="3" t="inlineStr">
        <is>
          <t>Primary Bulwark</t>
        </is>
      </c>
      <c r="C80" s="3" t="inlineStr">
        <is>
          <t>Arcanes</t>
        </is>
      </c>
      <c r="D80" s="4" t="n">
        <v>2</v>
      </c>
      <c r="E80" s="4" t="n">
        <v>2</v>
      </c>
      <c r="F80" s="3" t="n">
        <v>22</v>
      </c>
      <c r="G80" s="3" t="n">
        <v>41</v>
      </c>
      <c r="H80" s="3" t="n">
        <v>67</v>
      </c>
      <c r="I80" s="3" t="n">
        <v>24.02</v>
      </c>
      <c r="J80" s="3" t="n">
        <v>29</v>
      </c>
      <c r="K80" s="4" t="n">
        <v>2</v>
      </c>
      <c r="L80" s="3" t="n">
        <v>0</v>
      </c>
      <c r="M80" s="5">
        <f>IF(MAX($J$2:$J$189)&lt;=0,0,LOG10(J80+1)/LOG10(MAX($J$2:$J$189)+1)*100)*$Q$2+IF(MAX($K$2:$K$189)&lt;=0,0,LOG10(K80+1)/LOG10(MAX($K$2:$K$189)+1)*100)*$Q$3+IF(MAX($F$2:$F$189)&lt;=0,0,LOG10(F80+1)/LOG10(MAX($F$2:$F$189)+1)*100)*$Q$4</f>
        <v/>
      </c>
      <c r="N80" s="6" t="n">
        <v>0.02</v>
      </c>
      <c r="O80" s="7" t="inlineStr">
        <is>
          <t>brak (surowiec końcowy / nie jest komponentem)</t>
        </is>
      </c>
      <c r="P80" s="3" t="inlineStr">
        <is>
          <t>N/A (Overframe wyłączony w config.py)</t>
        </is>
      </c>
      <c r="Q80" s="3" t="inlineStr">
        <is>
          <t>Brak opisu w WFCD - sprawdź ręcznie: https://wiki.warframe.com/w/Primary_Bulwark</t>
        </is>
      </c>
      <c r="R80" s="3" t="inlineStr">
        <is>
          <t>2026-07-26 14:33</t>
        </is>
      </c>
    </row>
    <row r="81">
      <c r="A81" s="3" t="n">
        <v>80</v>
      </c>
      <c r="B81" s="3" t="inlineStr">
        <is>
          <t>Eternal Eradicate</t>
        </is>
      </c>
      <c r="C81" s="3" t="inlineStr">
        <is>
          <t>Arcanes</t>
        </is>
      </c>
      <c r="D81" s="4" t="n">
        <v>2</v>
      </c>
      <c r="E81" s="4" t="n">
        <v>3.8</v>
      </c>
      <c r="F81" s="3" t="n">
        <v>22</v>
      </c>
      <c r="G81" s="3" t="n">
        <v>40</v>
      </c>
      <c r="H81" s="3" t="n">
        <v>152</v>
      </c>
      <c r="I81" s="3" t="n">
        <v>44.78</v>
      </c>
      <c r="J81" s="3" t="n">
        <v>60</v>
      </c>
      <c r="K81" s="4" t="n">
        <v>3.8</v>
      </c>
      <c r="L81" s="3" t="n">
        <v>0</v>
      </c>
      <c r="M81" s="5">
        <f>IF(MAX($J$2:$J$189)&lt;=0,0,LOG10(J81+1)/LOG10(MAX($J$2:$J$189)+1)*100)*$Q$2+IF(MAX($K$2:$K$189)&lt;=0,0,LOG10(K81+1)/LOG10(MAX($K$2:$K$189)+1)*100)*$Q$3+IF(MAX($F$2:$F$189)&lt;=0,0,LOG10(F81+1)/LOG10(MAX($F$2:$F$189)+1)*100)*$Q$4</f>
        <v/>
      </c>
      <c r="N81" s="6" t="n">
        <v>0.54</v>
      </c>
      <c r="O81" s="7" t="inlineStr">
        <is>
          <t>brak (surowiec końcowy / nie jest komponentem)</t>
        </is>
      </c>
      <c r="P81" s="3" t="inlineStr">
        <is>
          <t>N/A (Overframe wyłączony w config.py)</t>
        </is>
      </c>
      <c r="Q81" s="3" t="inlineStr">
        <is>
          <t>Brak opisu w WFCD - sprawdź ręcznie: https://wiki.warframe.com/w/Eternal_Eradicate</t>
        </is>
      </c>
      <c r="R81" s="3" t="inlineStr">
        <is>
          <t>2026-07-26 14:33</t>
        </is>
      </c>
    </row>
    <row r="82">
      <c r="A82" s="3" t="n">
        <v>81</v>
      </c>
      <c r="B82" s="3" t="inlineStr">
        <is>
          <t>Secondary Irradiate</t>
        </is>
      </c>
      <c r="C82" s="3" t="inlineStr">
        <is>
          <t>Arcanes</t>
        </is>
      </c>
      <c r="D82" s="4" t="n">
        <v>2</v>
      </c>
      <c r="E82" s="4" t="n">
        <v>2</v>
      </c>
      <c r="F82" s="3" t="n">
        <v>22</v>
      </c>
      <c r="G82" s="3" t="n">
        <v>36</v>
      </c>
      <c r="H82" s="3" t="n">
        <v>62</v>
      </c>
      <c r="I82" s="3" t="n">
        <v>23.87</v>
      </c>
      <c r="J82" s="3" t="n">
        <v>27</v>
      </c>
      <c r="K82" s="4" t="n">
        <v>2</v>
      </c>
      <c r="L82" s="3" t="n">
        <v>0</v>
      </c>
      <c r="M82" s="5">
        <f>IF(MAX($J$2:$J$189)&lt;=0,0,LOG10(J82+1)/LOG10(MAX($J$2:$J$189)+1)*100)*$Q$2+IF(MAX($K$2:$K$189)&lt;=0,0,LOG10(K82+1)/LOG10(MAX($K$2:$K$189)+1)*100)*$Q$3+IF(MAX($F$2:$F$189)&lt;=0,0,LOG10(F82+1)/LOG10(MAX($F$2:$F$189)+1)*100)*$Q$4</f>
        <v/>
      </c>
      <c r="N82" s="6" t="n">
        <v>0.02</v>
      </c>
      <c r="O82" s="7" t="inlineStr">
        <is>
          <t>brak (surowiec końcowy / nie jest komponentem)</t>
        </is>
      </c>
      <c r="P82" s="3" t="inlineStr">
        <is>
          <t>N/A (Overframe wyłączony w config.py)</t>
        </is>
      </c>
      <c r="Q82" s="3" t="inlineStr">
        <is>
          <t>Brak opisu w WFCD - sprawdź ręcznie: https://wiki.warframe.com/w/Secondary_Irradiate</t>
        </is>
      </c>
      <c r="R82" s="3" t="inlineStr">
        <is>
          <t>2026-07-26 14:33</t>
        </is>
      </c>
    </row>
    <row r="83">
      <c r="A83" s="3" t="n">
        <v>82</v>
      </c>
      <c r="B83" s="3" t="inlineStr">
        <is>
          <t>Arcane Power Ramp</t>
        </is>
      </c>
      <c r="C83" s="3" t="inlineStr">
        <is>
          <t>Arcanes</t>
        </is>
      </c>
      <c r="D83" s="4" t="n">
        <v>2</v>
      </c>
      <c r="E83" s="4" t="n">
        <v>3.2</v>
      </c>
      <c r="F83" s="3" t="n">
        <v>22</v>
      </c>
      <c r="G83" s="3" t="n">
        <v>20</v>
      </c>
      <c r="H83" s="3" t="n">
        <v>36</v>
      </c>
      <c r="I83" s="3" t="n">
        <v>16.49</v>
      </c>
      <c r="J83" s="3" t="n">
        <v>17</v>
      </c>
      <c r="K83" s="4" t="n">
        <v>3.2</v>
      </c>
      <c r="L83" s="3" t="n">
        <v>0</v>
      </c>
      <c r="M83" s="5">
        <f>IF(MAX($J$2:$J$189)&lt;=0,0,LOG10(J83+1)/LOG10(MAX($J$2:$J$189)+1)*100)*$Q$2+IF(MAX($K$2:$K$189)&lt;=0,0,LOG10(K83+1)/LOG10(MAX($K$2:$K$189)+1)*100)*$Q$3+IF(MAX($F$2:$F$189)&lt;=0,0,LOG10(F83+1)/LOG10(MAX($F$2:$F$189)+1)*100)*$Q$4</f>
        <v/>
      </c>
      <c r="N83" s="6" t="n">
        <v>0.03</v>
      </c>
      <c r="O83" s="7" t="inlineStr">
        <is>
          <t>brak (surowiec końcowy / nie jest komponentem)</t>
        </is>
      </c>
      <c r="P83" s="3" t="inlineStr">
        <is>
          <t>N/A (Overframe wyłączony w config.py)</t>
        </is>
      </c>
      <c r="Q83" s="3" t="inlineStr">
        <is>
          <t>Brak opisu w WFCD - sprawdź ręcznie: https://wiki.warframe.com/w/Arcane_Power_Ramp</t>
        </is>
      </c>
      <c r="R83" s="3" t="inlineStr">
        <is>
          <t>2026-07-26 14:33</t>
        </is>
      </c>
    </row>
    <row r="84">
      <c r="A84" s="3" t="n">
        <v>83</v>
      </c>
      <c r="B84" s="3" t="inlineStr">
        <is>
          <t>Magus Firewall</t>
        </is>
      </c>
      <c r="C84" s="3" t="inlineStr">
        <is>
          <t>Arcanes</t>
        </is>
      </c>
      <c r="D84" s="4" t="n">
        <v>8</v>
      </c>
      <c r="E84" s="4" t="n">
        <v>75.40000000000001</v>
      </c>
      <c r="F84" s="3" t="n">
        <v>22</v>
      </c>
      <c r="G84" s="3" t="n">
        <v>14</v>
      </c>
      <c r="H84" s="3" t="n">
        <v>6</v>
      </c>
      <c r="I84" s="3" t="n">
        <v>4.59</v>
      </c>
      <c r="J84" s="3" t="n">
        <v>4</v>
      </c>
      <c r="K84" s="4" t="n">
        <v>75.40000000000001</v>
      </c>
      <c r="L84" s="3" t="n">
        <v>0</v>
      </c>
      <c r="M84" s="5">
        <f>IF(MAX($J$2:$J$189)&lt;=0,0,LOG10(J84+1)/LOG10(MAX($J$2:$J$189)+1)*100)*$Q$2+IF(MAX($K$2:$K$189)&lt;=0,0,LOG10(K84+1)/LOG10(MAX($K$2:$K$189)+1)*100)*$Q$3+IF(MAX($F$2:$F$189)&lt;=0,0,LOG10(F84+1)/LOG10(MAX($F$2:$F$189)+1)*100)*$Q$4</f>
        <v/>
      </c>
      <c r="N84" s="6" t="n">
        <v>10.77</v>
      </c>
      <c r="O84" s="7" t="inlineStr">
        <is>
          <t>brak (surowiec końcowy / nie jest komponentem)</t>
        </is>
      </c>
      <c r="P84" s="3" t="inlineStr">
        <is>
          <t>N/A (Overframe wyłączony w config.py)</t>
        </is>
      </c>
      <c r="Q84" s="3" t="inlineStr">
        <is>
          <t>Brak opisu w WFCD - sprawdź ręcznie: https://wiki.warframe.com/w/Magus_Firewall</t>
        </is>
      </c>
      <c r="R84" s="3" t="inlineStr">
        <is>
          <t>2026-07-26 14:33</t>
        </is>
      </c>
    </row>
    <row r="85">
      <c r="A85" s="3" t="n">
        <v>84</v>
      </c>
      <c r="B85" s="3" t="inlineStr">
        <is>
          <t>Arcane Vanguard Helmet</t>
        </is>
      </c>
      <c r="C85" s="3" t="inlineStr">
        <is>
          <t>Skins</t>
        </is>
      </c>
      <c r="D85" s="4" t="n">
        <v>480</v>
      </c>
      <c r="E85" s="4" t="n">
        <v>1826.7</v>
      </c>
      <c r="F85" s="3" t="n">
        <v>22</v>
      </c>
      <c r="G85" s="3" t="n">
        <v>3</v>
      </c>
      <c r="H85" s="3" t="n">
        <v>1</v>
      </c>
      <c r="I85" s="3" t="n">
        <v>1.43</v>
      </c>
      <c r="J85" s="3" t="n">
        <v>1</v>
      </c>
      <c r="K85" s="4" t="n">
        <v>1826.7</v>
      </c>
      <c r="L85" s="3" t="n">
        <v>0</v>
      </c>
      <c r="M85" s="5">
        <f>IF(MAX($J$2:$J$189)&lt;=0,0,LOG10(J85+1)/LOG10(MAX($J$2:$J$189)+1)*100)*$Q$2+IF(MAX($K$2:$K$189)&lt;=0,0,LOG10(K85+1)/LOG10(MAX($K$2:$K$189)+1)*100)*$Q$3+IF(MAX($F$2:$F$189)&lt;=0,0,LOG10(F85+1)/LOG10(MAX($F$2:$F$189)+1)*100)*$Q$4</f>
        <v/>
      </c>
      <c r="N85" s="6" t="n"/>
      <c r="O85" s="7" t="inlineStr">
        <is>
          <t>brak (surowiec końcowy / nie jest komponentem)</t>
        </is>
      </c>
      <c r="P85" s="3" t="inlineStr">
        <is>
          <t>N/A (Overframe wyłączony w config.py)</t>
        </is>
      </c>
      <c r="Q85" s="3" t="inlineStr">
        <is>
          <t>This helmet is worn by Rhino, and adds Speed, with a reduction to Ability Strength.</t>
        </is>
      </c>
      <c r="R85" s="3" t="inlineStr">
        <is>
          <t>2026-07-26 14:33</t>
        </is>
      </c>
    </row>
    <row r="86">
      <c r="A86" s="3" t="n">
        <v>85</v>
      </c>
      <c r="B86" s="3" t="inlineStr">
        <is>
          <t>Arcane Vespa Helmet</t>
        </is>
      </c>
      <c r="C86" s="3" t="inlineStr">
        <is>
          <t>Skins</t>
        </is>
      </c>
      <c r="D86" s="4" t="n">
        <v>350</v>
      </c>
      <c r="E86" s="4" t="n">
        <v>475</v>
      </c>
      <c r="F86" s="3" t="n">
        <v>22</v>
      </c>
      <c r="G86" s="3" t="n">
        <v>2</v>
      </c>
      <c r="H86" s="3" t="n">
        <v>0</v>
      </c>
      <c r="I86" s="3" t="n">
        <v>1.48</v>
      </c>
      <c r="J86" s="3" t="n">
        <v>1</v>
      </c>
      <c r="K86" s="4" t="n">
        <v>475</v>
      </c>
      <c r="L86" s="3" t="n">
        <v>0</v>
      </c>
      <c r="M86" s="5">
        <f>IF(MAX($J$2:$J$189)&lt;=0,0,LOG10(J86+1)/LOG10(MAX($J$2:$J$189)+1)*100)*$Q$2+IF(MAX($K$2:$K$189)&lt;=0,0,LOG10(K86+1)/LOG10(MAX($K$2:$K$189)+1)*100)*$Q$3+IF(MAX($F$2:$F$189)&lt;=0,0,LOG10(F86+1)/LOG10(MAX($F$2:$F$189)+1)*100)*$Q$4</f>
        <v/>
      </c>
      <c r="N86" s="6" t="n"/>
      <c r="O86" s="7" t="inlineStr">
        <is>
          <t>brak (surowiec końcowy / nie jest komponentem)</t>
        </is>
      </c>
      <c r="P86" s="3" t="inlineStr">
        <is>
          <t>N/A (Overframe wyłączony w config.py)</t>
        </is>
      </c>
      <c r="Q86" s="3" t="inlineStr">
        <is>
          <t>This helmet is worn by Nyx, and adds Ability Efficiency, with a reduction to Armor.</t>
        </is>
      </c>
      <c r="R86" s="3" t="inlineStr">
        <is>
          <t>2026-07-26 14:33</t>
        </is>
      </c>
    </row>
    <row r="87">
      <c r="A87" s="3" t="n">
        <v>86</v>
      </c>
      <c r="B87" s="3" t="inlineStr">
        <is>
          <t>Arcane Aura Helmet</t>
        </is>
      </c>
      <c r="C87" s="3" t="inlineStr">
        <is>
          <t>Skins</t>
        </is>
      </c>
      <c r="D87" s="4" t="n">
        <v>850</v>
      </c>
      <c r="E87" s="4" t="n">
        <v>850</v>
      </c>
      <c r="F87" s="3" t="n">
        <v>22</v>
      </c>
      <c r="G87" s="3" t="n">
        <v>1</v>
      </c>
      <c r="H87" s="3" t="n">
        <v>2</v>
      </c>
      <c r="I87" s="3" t="n">
        <v>1.48</v>
      </c>
      <c r="J87" s="3" t="n">
        <v>1</v>
      </c>
      <c r="K87" s="4" t="n">
        <v>850</v>
      </c>
      <c r="L87" s="3" t="n">
        <v>0</v>
      </c>
      <c r="M87" s="5">
        <f>IF(MAX($J$2:$J$189)&lt;=0,0,LOG10(J87+1)/LOG10(MAX($J$2:$J$189)+1)*100)*$Q$2+IF(MAX($K$2:$K$189)&lt;=0,0,LOG10(K87+1)/LOG10(MAX($K$2:$K$189)+1)*100)*$Q$3+IF(MAX($F$2:$F$189)&lt;=0,0,LOG10(F87+1)/LOG10(MAX($F$2:$F$189)+1)*100)*$Q$4</f>
        <v/>
      </c>
      <c r="N87" s="6" t="n"/>
      <c r="O87" s="7" t="inlineStr">
        <is>
          <t>brak (surowiec końcowy / nie jest komponentem)</t>
        </is>
      </c>
      <c r="P87" s="3" t="inlineStr">
        <is>
          <t>N/A (Overframe wyłączony w config.py)</t>
        </is>
      </c>
      <c r="Q87" s="3" t="inlineStr">
        <is>
          <t>This helmet is worn by Trinity, and increases the Ability Duration, but adversely affects Health.</t>
        </is>
      </c>
      <c r="R87" s="3" t="inlineStr">
        <is>
          <t>2026-07-26 14:33</t>
        </is>
      </c>
    </row>
    <row r="88">
      <c r="A88" s="3" t="n">
        <v>87</v>
      </c>
      <c r="B88" s="3" t="inlineStr">
        <is>
          <t>Arcane Chlora Helmet</t>
        </is>
      </c>
      <c r="C88" s="3" t="inlineStr">
        <is>
          <t>Skins</t>
        </is>
      </c>
      <c r="D88" s="4" t="n"/>
      <c r="E88" s="4" t="n"/>
      <c r="F88" s="3" t="n">
        <v>22</v>
      </c>
      <c r="G88" s="3" t="n">
        <v>0</v>
      </c>
      <c r="H88" s="3" t="n">
        <v>2</v>
      </c>
      <c r="I88" s="3" t="n">
        <v>1.24</v>
      </c>
      <c r="J88" s="3" t="n">
        <v>1</v>
      </c>
      <c r="K88" s="4" t="n">
        <v>0</v>
      </c>
      <c r="L88" s="3" t="n">
        <v>0</v>
      </c>
      <c r="M88" s="5">
        <f>IF(MAX($J$2:$J$189)&lt;=0,0,LOG10(J88+1)/LOG10(MAX($J$2:$J$189)+1)*100)*$Q$2+IF(MAX($K$2:$K$189)&lt;=0,0,LOG10(K88+1)/LOG10(MAX($K$2:$K$189)+1)*100)*$Q$3+IF(MAX($F$2:$F$189)&lt;=0,0,LOG10(F88+1)/LOG10(MAX($F$2:$F$189)+1)*100)*$Q$4</f>
        <v/>
      </c>
      <c r="N88" s="6" t="n"/>
      <c r="O88" s="7" t="inlineStr">
        <is>
          <t>brak (surowiec końcowy / nie jest komponentem)</t>
        </is>
      </c>
      <c r="P88" s="3" t="inlineStr">
        <is>
          <t>N/A (Overframe wyłączony w config.py)</t>
        </is>
      </c>
      <c r="Q88" s="3" t="inlineStr">
        <is>
          <t>This helmet is worn by Saryn, and increases velocity of parkour maneuvers, but reduces Ability Duration.</t>
        </is>
      </c>
      <c r="R88" s="3" t="inlineStr">
        <is>
          <t>2026-07-26 14:33</t>
        </is>
      </c>
    </row>
    <row r="89">
      <c r="A89" s="3" t="n">
        <v>88</v>
      </c>
      <c r="B89" s="3" t="inlineStr">
        <is>
          <t>Arcane Impetus</t>
        </is>
      </c>
      <c r="C89" s="3" t="inlineStr">
        <is>
          <t>Arcanes</t>
        </is>
      </c>
      <c r="D89" s="4" t="n">
        <v>2</v>
      </c>
      <c r="E89" s="4" t="n">
        <v>2.8</v>
      </c>
      <c r="F89" s="3" t="n">
        <v>21</v>
      </c>
      <c r="G89" s="3" t="n">
        <v>78</v>
      </c>
      <c r="H89" s="3" t="n">
        <v>469</v>
      </c>
      <c r="I89" s="3" t="n">
        <v>138.55</v>
      </c>
      <c r="J89" s="3" t="n">
        <v>187</v>
      </c>
      <c r="K89" s="4" t="n">
        <v>2.8</v>
      </c>
      <c r="L89" s="3" t="n">
        <v>0</v>
      </c>
      <c r="M89" s="5">
        <f>IF(MAX($J$2:$J$189)&lt;=0,0,LOG10(J89+1)/LOG10(MAX($J$2:$J$189)+1)*100)*$Q$2+IF(MAX($K$2:$K$189)&lt;=0,0,LOG10(K89+1)/LOG10(MAX($K$2:$K$189)+1)*100)*$Q$3+IF(MAX($F$2:$F$189)&lt;=0,0,LOG10(F89+1)/LOG10(MAX($F$2:$F$189)+1)*100)*$Q$4</f>
        <v/>
      </c>
      <c r="N89" s="6" t="n">
        <v>0.05</v>
      </c>
      <c r="O89" s="7" t="inlineStr">
        <is>
          <t>brak (surowiec końcowy / nie jest komponentem)</t>
        </is>
      </c>
      <c r="P89" s="3" t="inlineStr">
        <is>
          <t>N/A (Overframe wyłączony w config.py)</t>
        </is>
      </c>
      <c r="Q89" s="3" t="inlineStr">
        <is>
          <t>Brak opisu w WFCD - sprawdź ręcznie: https://wiki.warframe.com/w/Arcane_Impetus</t>
        </is>
      </c>
      <c r="R89" s="3" t="inlineStr">
        <is>
          <t>2026-07-26 14:33</t>
        </is>
      </c>
    </row>
    <row r="90">
      <c r="A90" s="3" t="n">
        <v>89</v>
      </c>
      <c r="B90" s="3" t="inlineStr">
        <is>
          <t>Arcane Camisado</t>
        </is>
      </c>
      <c r="C90" s="3" t="inlineStr">
        <is>
          <t>Arcanes</t>
        </is>
      </c>
      <c r="D90" s="4" t="n">
        <v>2</v>
      </c>
      <c r="E90" s="4" t="n">
        <v>2</v>
      </c>
      <c r="F90" s="3" t="n">
        <v>21</v>
      </c>
      <c r="G90" s="3" t="n">
        <v>75</v>
      </c>
      <c r="H90" s="3" t="n">
        <v>403</v>
      </c>
      <c r="I90" s="3" t="n">
        <v>100.65</v>
      </c>
      <c r="J90" s="3" t="n">
        <v>151</v>
      </c>
      <c r="K90" s="4" t="n">
        <v>2</v>
      </c>
      <c r="L90" s="3" t="n">
        <v>0</v>
      </c>
      <c r="M90" s="5">
        <f>IF(MAX($J$2:$J$189)&lt;=0,0,LOG10(J90+1)/LOG10(MAX($J$2:$J$189)+1)*100)*$Q$2+IF(MAX($K$2:$K$189)&lt;=0,0,LOG10(K90+1)/LOG10(MAX($K$2:$K$189)+1)*100)*$Q$3+IF(MAX($F$2:$F$189)&lt;=0,0,LOG10(F90+1)/LOG10(MAX($F$2:$F$189)+1)*100)*$Q$4</f>
        <v/>
      </c>
      <c r="N90" s="6" t="n">
        <v>0.04</v>
      </c>
      <c r="O90" s="7" t="inlineStr">
        <is>
          <t>brak (surowiec końcowy / nie jest komponentem)</t>
        </is>
      </c>
      <c r="P90" s="3" t="inlineStr">
        <is>
          <t>N/A (Overframe wyłączony w config.py)</t>
        </is>
      </c>
      <c r="Q90" s="3" t="inlineStr">
        <is>
          <t>Brak opisu w WFCD - sprawdź ręcznie: https://wiki.warframe.com/w/Arcane_Camisado</t>
        </is>
      </c>
      <c r="R90" s="3" t="inlineStr">
        <is>
          <t>2026-07-26 14:33</t>
        </is>
      </c>
    </row>
    <row r="91">
      <c r="A91" s="3" t="n">
        <v>90</v>
      </c>
      <c r="B91" s="3" t="inlineStr">
        <is>
          <t>Primary Crux</t>
        </is>
      </c>
      <c r="C91" s="3" t="inlineStr">
        <is>
          <t>Arcanes</t>
        </is>
      </c>
      <c r="D91" s="4" t="n">
        <v>2</v>
      </c>
      <c r="E91" s="4" t="n">
        <v>2.6</v>
      </c>
      <c r="F91" s="3" t="n">
        <v>21</v>
      </c>
      <c r="G91" s="3" t="n">
        <v>60</v>
      </c>
      <c r="H91" s="3" t="n">
        <v>368</v>
      </c>
      <c r="I91" s="3" t="n">
        <v>94.53</v>
      </c>
      <c r="J91" s="3" t="n">
        <v>139</v>
      </c>
      <c r="K91" s="4" t="n">
        <v>2.6</v>
      </c>
      <c r="L91" s="3" t="n">
        <v>0</v>
      </c>
      <c r="M91" s="5">
        <f>IF(MAX($J$2:$J$189)&lt;=0,0,LOG10(J91+1)/LOG10(MAX($J$2:$J$189)+1)*100)*$Q$2+IF(MAX($K$2:$K$189)&lt;=0,0,LOG10(K91+1)/LOG10(MAX($K$2:$K$189)+1)*100)*$Q$3+IF(MAX($F$2:$F$189)&lt;=0,0,LOG10(F91+1)/LOG10(MAX($F$2:$F$189)+1)*100)*$Q$4</f>
        <v/>
      </c>
      <c r="N91" s="6" t="n">
        <v>0.05</v>
      </c>
      <c r="O91" s="7" t="inlineStr">
        <is>
          <t>brak (surowiec końcowy / nie jest komponentem)</t>
        </is>
      </c>
      <c r="P91" s="3" t="inlineStr">
        <is>
          <t>N/A (Overframe wyłączony w config.py)</t>
        </is>
      </c>
      <c r="Q91" s="3" t="inlineStr">
        <is>
          <t>Brak opisu w WFCD - sprawdź ręcznie: https://wiki.warframe.com/w/Primary_Crux</t>
        </is>
      </c>
      <c r="R91" s="3" t="inlineStr">
        <is>
          <t>2026-07-26 14:33</t>
        </is>
      </c>
    </row>
    <row r="92">
      <c r="A92" s="3" t="n">
        <v>91</v>
      </c>
      <c r="B92" s="3" t="inlineStr">
        <is>
          <t>Arcane Truculence</t>
        </is>
      </c>
      <c r="C92" s="3" t="inlineStr">
        <is>
          <t>Arcanes</t>
        </is>
      </c>
      <c r="D92" s="4" t="n">
        <v>2</v>
      </c>
      <c r="E92" s="4" t="n">
        <v>2</v>
      </c>
      <c r="F92" s="3" t="n">
        <v>21</v>
      </c>
      <c r="G92" s="3" t="n">
        <v>57</v>
      </c>
      <c r="H92" s="3" t="n">
        <v>176</v>
      </c>
      <c r="I92" s="3" t="n">
        <v>43.32</v>
      </c>
      <c r="J92" s="3" t="n">
        <v>66</v>
      </c>
      <c r="K92" s="4" t="n">
        <v>2</v>
      </c>
      <c r="L92" s="3" t="n">
        <v>0</v>
      </c>
      <c r="M92" s="5">
        <f>IF(MAX($J$2:$J$189)&lt;=0,0,LOG10(J92+1)/LOG10(MAX($J$2:$J$189)+1)*100)*$Q$2+IF(MAX($K$2:$K$189)&lt;=0,0,LOG10(K92+1)/LOG10(MAX($K$2:$K$189)+1)*100)*$Q$3+IF(MAX($F$2:$F$189)&lt;=0,0,LOG10(F92+1)/LOG10(MAX($F$2:$F$189)+1)*100)*$Q$4</f>
        <v/>
      </c>
      <c r="N92" s="6" t="n">
        <v>0.04</v>
      </c>
      <c r="O92" s="7" t="inlineStr">
        <is>
          <t>brak (surowiec końcowy / nie jest komponentem)</t>
        </is>
      </c>
      <c r="P92" s="3" t="inlineStr">
        <is>
          <t>N/A (Overframe wyłączony w config.py)</t>
        </is>
      </c>
      <c r="Q92" s="3" t="inlineStr">
        <is>
          <t>Brak opisu w WFCD - sprawdź ręcznie: https://wiki.warframe.com/w/Arcane_Truculence</t>
        </is>
      </c>
      <c r="R92" s="3" t="inlineStr">
        <is>
          <t>2026-07-26 14:33</t>
        </is>
      </c>
    </row>
    <row r="93">
      <c r="A93" s="3" t="n">
        <v>92</v>
      </c>
      <c r="B93" s="3" t="inlineStr">
        <is>
          <t>Primary Debilitate</t>
        </is>
      </c>
      <c r="C93" s="3" t="inlineStr">
        <is>
          <t>Arcanes</t>
        </is>
      </c>
      <c r="D93" s="4" t="n">
        <v>2</v>
      </c>
      <c r="E93" s="4" t="n">
        <v>2</v>
      </c>
      <c r="F93" s="3" t="n">
        <v>21</v>
      </c>
      <c r="G93" s="3" t="n">
        <v>42</v>
      </c>
      <c r="H93" s="3" t="n">
        <v>103</v>
      </c>
      <c r="I93" s="3" t="n">
        <v>31.19</v>
      </c>
      <c r="J93" s="3" t="n">
        <v>41</v>
      </c>
      <c r="K93" s="4" t="n">
        <v>2</v>
      </c>
      <c r="L93" s="3" t="n">
        <v>0</v>
      </c>
      <c r="M93" s="5">
        <f>IF(MAX($J$2:$J$189)&lt;=0,0,LOG10(J93+1)/LOG10(MAX($J$2:$J$189)+1)*100)*$Q$2+IF(MAX($K$2:$K$189)&lt;=0,0,LOG10(K93+1)/LOG10(MAX($K$2:$K$189)+1)*100)*$Q$3+IF(MAX($F$2:$F$189)&lt;=0,0,LOG10(F93+1)/LOG10(MAX($F$2:$F$189)+1)*100)*$Q$4</f>
        <v/>
      </c>
      <c r="N93" s="6" t="n">
        <v>0.02</v>
      </c>
      <c r="O93" s="7" t="inlineStr">
        <is>
          <t>brak (surowiec końcowy / nie jest komponentem)</t>
        </is>
      </c>
      <c r="P93" s="3" t="inlineStr">
        <is>
          <t>N/A (Overframe wyłączony w config.py)</t>
        </is>
      </c>
      <c r="Q93" s="3" t="inlineStr">
        <is>
          <t>Brak opisu w WFCD - sprawdź ręcznie: https://wiki.warframe.com/w/Primary_Debilitate</t>
        </is>
      </c>
      <c r="R93" s="3" t="inlineStr">
        <is>
          <t>2026-07-26 14:33</t>
        </is>
      </c>
    </row>
    <row r="94">
      <c r="A94" s="3" t="n">
        <v>93</v>
      </c>
      <c r="B94" s="3" t="inlineStr">
        <is>
          <t>Arcane Agility</t>
        </is>
      </c>
      <c r="C94" s="3" t="inlineStr">
        <is>
          <t>Arcanes</t>
        </is>
      </c>
      <c r="D94" s="4" t="n">
        <v>4</v>
      </c>
      <c r="E94" s="4" t="n">
        <v>18.6</v>
      </c>
      <c r="F94" s="3" t="n">
        <v>21</v>
      </c>
      <c r="G94" s="3" t="n">
        <v>22</v>
      </c>
      <c r="H94" s="3" t="n">
        <v>28</v>
      </c>
      <c r="I94" s="3" t="n">
        <v>10.53</v>
      </c>
      <c r="J94" s="3" t="n">
        <v>12</v>
      </c>
      <c r="K94" s="4" t="n">
        <v>18.6</v>
      </c>
      <c r="L94" s="3" t="n">
        <v>0</v>
      </c>
      <c r="M94" s="5">
        <f>IF(MAX($J$2:$J$189)&lt;=0,0,LOG10(J94+1)/LOG10(MAX($J$2:$J$189)+1)*100)*$Q$2+IF(MAX($K$2:$K$189)&lt;=0,0,LOG10(K94+1)/LOG10(MAX($K$2:$K$189)+1)*100)*$Q$3+IF(MAX($F$2:$F$189)&lt;=0,0,LOG10(F94+1)/LOG10(MAX($F$2:$F$189)+1)*100)*$Q$4</f>
        <v/>
      </c>
      <c r="N94" s="6" t="n">
        <v>0.27</v>
      </c>
      <c r="O94" s="7" t="inlineStr">
        <is>
          <t>brak (surowiec końcowy / nie jest komponentem)</t>
        </is>
      </c>
      <c r="P94" s="3" t="inlineStr">
        <is>
          <t>N/A (Overframe wyłączony w config.py)</t>
        </is>
      </c>
      <c r="Q94" s="3" t="inlineStr">
        <is>
          <t>Brak opisu w WFCD - sprawdź ręcznie: https://wiki.warframe.com/w/Arcane_Agility</t>
        </is>
      </c>
      <c r="R94" s="3" t="inlineStr">
        <is>
          <t>2026-07-26 14:33</t>
        </is>
      </c>
    </row>
    <row r="95">
      <c r="A95" s="3" t="n">
        <v>94</v>
      </c>
      <c r="B95" s="3" t="inlineStr">
        <is>
          <t>Magus Destruct</t>
        </is>
      </c>
      <c r="C95" s="3" t="inlineStr">
        <is>
          <t>Arcanes</t>
        </is>
      </c>
      <c r="D95" s="4" t="n">
        <v>6</v>
      </c>
      <c r="E95" s="4" t="n">
        <v>90</v>
      </c>
      <c r="F95" s="3" t="n">
        <v>21</v>
      </c>
      <c r="G95" s="3" t="n">
        <v>13</v>
      </c>
      <c r="H95" s="3" t="n">
        <v>0</v>
      </c>
      <c r="I95" s="3" t="n">
        <v>3.33</v>
      </c>
      <c r="J95" s="3" t="n">
        <v>3</v>
      </c>
      <c r="K95" s="4" t="n">
        <v>90</v>
      </c>
      <c r="L95" s="3" t="n">
        <v>0</v>
      </c>
      <c r="M95" s="5">
        <f>IF(MAX($J$2:$J$189)&lt;=0,0,LOG10(J95+1)/LOG10(MAX($J$2:$J$189)+1)*100)*$Q$2+IF(MAX($K$2:$K$189)&lt;=0,0,LOG10(K95+1)/LOG10(MAX($K$2:$K$189)+1)*100)*$Q$3+IF(MAX($F$2:$F$189)&lt;=0,0,LOG10(F95+1)/LOG10(MAX($F$2:$F$189)+1)*100)*$Q$4</f>
        <v/>
      </c>
      <c r="N95" s="6" t="n">
        <v>12.86</v>
      </c>
      <c r="O95" s="7" t="inlineStr">
        <is>
          <t>brak (surowiec końcowy / nie jest komponentem)</t>
        </is>
      </c>
      <c r="P95" s="3" t="inlineStr">
        <is>
          <t>N/A (Overframe wyłączony w config.py)</t>
        </is>
      </c>
      <c r="Q95" s="3" t="inlineStr">
        <is>
          <t>Brak opisu w WFCD - sprawdź ręcznie: https://wiki.warframe.com/w/Magus_Destruct</t>
        </is>
      </c>
      <c r="R95" s="3" t="inlineStr">
        <is>
          <t>2026-07-26 14:33</t>
        </is>
      </c>
    </row>
    <row r="96">
      <c r="A96" s="3" t="n">
        <v>95</v>
      </c>
      <c r="B96" s="3" t="inlineStr">
        <is>
          <t>Arcane Squall Helmet</t>
        </is>
      </c>
      <c r="C96" s="3" t="inlineStr">
        <is>
          <t>Skins</t>
        </is>
      </c>
      <c r="D96" s="4" t="n">
        <v>370</v>
      </c>
      <c r="E96" s="4" t="n">
        <v>943</v>
      </c>
      <c r="F96" s="3" t="n">
        <v>21</v>
      </c>
      <c r="G96" s="3" t="n">
        <v>5</v>
      </c>
      <c r="H96" s="3" t="n">
        <v>0</v>
      </c>
      <c r="I96" s="3" t="n">
        <v>1.32</v>
      </c>
      <c r="J96" s="3" t="n">
        <v>1</v>
      </c>
      <c r="K96" s="4" t="n">
        <v>943</v>
      </c>
      <c r="L96" s="3" t="n">
        <v>0</v>
      </c>
      <c r="M96" s="5">
        <f>IF(MAX($J$2:$J$189)&lt;=0,0,LOG10(J96+1)/LOG10(MAX($J$2:$J$189)+1)*100)*$Q$2+IF(MAX($K$2:$K$189)&lt;=0,0,LOG10(K96+1)/LOG10(MAX($K$2:$K$189)+1)*100)*$Q$3+IF(MAX($F$2:$F$189)&lt;=0,0,LOG10(F96+1)/LOG10(MAX($F$2:$F$189)+1)*100)*$Q$4</f>
        <v/>
      </c>
      <c r="N96" s="6" t="n"/>
      <c r="O96" s="7" t="inlineStr">
        <is>
          <t>brak (surowiec końcowy / nie jest komponentem)</t>
        </is>
      </c>
      <c r="P96" s="3" t="inlineStr">
        <is>
          <t>N/A (Overframe wyłączony w config.py)</t>
        </is>
      </c>
      <c r="Q96" s="3" t="inlineStr">
        <is>
          <t>This helmet is worn by Frost, and adds Ability Strength, with a reduction to Shields.</t>
        </is>
      </c>
      <c r="R96" s="3" t="inlineStr">
        <is>
          <t>2026-07-26 14:33</t>
        </is>
      </c>
    </row>
    <row r="97">
      <c r="A97" s="3" t="n">
        <v>96</v>
      </c>
      <c r="B97" s="3" t="inlineStr">
        <is>
          <t>Primary Frostbite</t>
        </is>
      </c>
      <c r="C97" s="3" t="inlineStr">
        <is>
          <t>Arcanes</t>
        </is>
      </c>
      <c r="D97" s="4" t="n">
        <v>2</v>
      </c>
      <c r="E97" s="4" t="n">
        <v>2.4</v>
      </c>
      <c r="F97" s="3" t="n">
        <v>19</v>
      </c>
      <c r="G97" s="3" t="n">
        <v>45</v>
      </c>
      <c r="H97" s="3" t="n">
        <v>124</v>
      </c>
      <c r="I97" s="3" t="n">
        <v>50.85</v>
      </c>
      <c r="J97" s="3" t="n">
        <v>56</v>
      </c>
      <c r="K97" s="4" t="n">
        <v>2.4</v>
      </c>
      <c r="L97" s="3" t="n">
        <v>0</v>
      </c>
      <c r="M97" s="5">
        <f>IF(MAX($J$2:$J$189)&lt;=0,0,LOG10(J97+1)/LOG10(MAX($J$2:$J$189)+1)*100)*$Q$2+IF(MAX($K$2:$K$189)&lt;=0,0,LOG10(K97+1)/LOG10(MAX($K$2:$K$189)+1)*100)*$Q$3+IF(MAX($F$2:$F$189)&lt;=0,0,LOG10(F97+1)/LOG10(MAX($F$2:$F$189)+1)*100)*$Q$4</f>
        <v/>
      </c>
      <c r="N97" s="6" t="n">
        <v>0.04</v>
      </c>
      <c r="O97" s="7" t="inlineStr">
        <is>
          <t>brak (surowiec końcowy / nie jest komponentem)</t>
        </is>
      </c>
      <c r="P97" s="3" t="inlineStr">
        <is>
          <t>N/A (Overframe wyłączony w config.py)</t>
        </is>
      </c>
      <c r="Q97" s="3" t="inlineStr">
        <is>
          <t>Brak opisu w WFCD - sprawdź ręcznie: https://wiki.warframe.com/w/Primary_Frostbite</t>
        </is>
      </c>
      <c r="R97" s="3" t="inlineStr">
        <is>
          <t>2026-07-26 14:33</t>
        </is>
      </c>
    </row>
    <row r="98">
      <c r="A98" s="3" t="n">
        <v>97</v>
      </c>
      <c r="B98" s="3" t="inlineStr">
        <is>
          <t>Melee Careen</t>
        </is>
      </c>
      <c r="C98" s="3" t="inlineStr">
        <is>
          <t>Arcanes</t>
        </is>
      </c>
      <c r="D98" s="4" t="n">
        <v>2</v>
      </c>
      <c r="E98" s="4" t="n">
        <v>2.2</v>
      </c>
      <c r="F98" s="3" t="n">
        <v>19</v>
      </c>
      <c r="G98" s="3" t="n">
        <v>34</v>
      </c>
      <c r="H98" s="3" t="n">
        <v>48</v>
      </c>
      <c r="I98" s="3" t="n">
        <v>18.92</v>
      </c>
      <c r="J98" s="3" t="n">
        <v>21</v>
      </c>
      <c r="K98" s="4" t="n">
        <v>2.2</v>
      </c>
      <c r="L98" s="3" t="n">
        <v>0</v>
      </c>
      <c r="M98" s="5">
        <f>IF(MAX($J$2:$J$189)&lt;=0,0,LOG10(J98+1)/LOG10(MAX($J$2:$J$189)+1)*100)*$Q$2+IF(MAX($K$2:$K$189)&lt;=0,0,LOG10(K98+1)/LOG10(MAX($K$2:$K$189)+1)*100)*$Q$3+IF(MAX($F$2:$F$189)&lt;=0,0,LOG10(F98+1)/LOG10(MAX($F$2:$F$189)+1)*100)*$Q$4</f>
        <v/>
      </c>
      <c r="N98" s="6" t="n">
        <v>0.02</v>
      </c>
      <c r="O98" s="7" t="inlineStr">
        <is>
          <t>brak (surowiec końcowy / nie jest komponentem)</t>
        </is>
      </c>
      <c r="P98" s="3" t="inlineStr">
        <is>
          <t>N/A (Overframe wyłączony w config.py)</t>
        </is>
      </c>
      <c r="Q98" s="3" t="inlineStr">
        <is>
          <t>Brak opisu w WFCD - sprawdź ręcznie: https://wiki.warframe.com/w/Melee_Careen</t>
        </is>
      </c>
      <c r="R98" s="3" t="inlineStr">
        <is>
          <t>2026-07-26 14:33</t>
        </is>
      </c>
    </row>
    <row r="99">
      <c r="A99" s="3" t="n">
        <v>98</v>
      </c>
      <c r="B99" s="3" t="inlineStr">
        <is>
          <t>Magus Drive</t>
        </is>
      </c>
      <c r="C99" s="3" t="inlineStr">
        <is>
          <t>Arcanes</t>
        </is>
      </c>
      <c r="D99" s="4" t="n">
        <v>8</v>
      </c>
      <c r="E99" s="4" t="n">
        <v>82.59999999999999</v>
      </c>
      <c r="F99" s="3" t="n">
        <v>19</v>
      </c>
      <c r="G99" s="3" t="n">
        <v>14</v>
      </c>
      <c r="H99" s="3" t="n">
        <v>2</v>
      </c>
      <c r="I99" s="3" t="n">
        <v>3.5</v>
      </c>
      <c r="J99" s="3" t="n">
        <v>2</v>
      </c>
      <c r="K99" s="4" t="n">
        <v>82.59999999999999</v>
      </c>
      <c r="L99" s="3" t="n">
        <v>0</v>
      </c>
      <c r="M99" s="5">
        <f>IF(MAX($J$2:$J$189)&lt;=0,0,LOG10(J99+1)/LOG10(MAX($J$2:$J$189)+1)*100)*$Q$2+IF(MAX($K$2:$K$189)&lt;=0,0,LOG10(K99+1)/LOG10(MAX($K$2:$K$189)+1)*100)*$Q$3+IF(MAX($F$2:$F$189)&lt;=0,0,LOG10(F99+1)/LOG10(MAX($F$2:$F$189)+1)*100)*$Q$4</f>
        <v/>
      </c>
      <c r="N99" s="6" t="n">
        <v>11.8</v>
      </c>
      <c r="O99" s="7" t="inlineStr">
        <is>
          <t>brak (surowiec końcowy / nie jest komponentem)</t>
        </is>
      </c>
      <c r="P99" s="3" t="inlineStr">
        <is>
          <t>N/A (Overframe wyłączony w config.py)</t>
        </is>
      </c>
      <c r="Q99" s="3" t="inlineStr">
        <is>
          <t>Brak opisu w WFCD - sprawdź ręcznie: https://wiki.warframe.com/w/Magus_Drive</t>
        </is>
      </c>
      <c r="R99" s="3" t="inlineStr">
        <is>
          <t>2026-07-26 14:33</t>
        </is>
      </c>
    </row>
    <row r="100">
      <c r="A100" s="3" t="n">
        <v>99</v>
      </c>
      <c r="B100" s="3" t="inlineStr">
        <is>
          <t>Arcane Swindle Helmet</t>
        </is>
      </c>
      <c r="C100" s="3" t="inlineStr">
        <is>
          <t>Skins</t>
        </is>
      </c>
      <c r="D100" s="4" t="n">
        <v>350</v>
      </c>
      <c r="E100" s="4" t="n">
        <v>350</v>
      </c>
      <c r="F100" s="3" t="n">
        <v>19</v>
      </c>
      <c r="G100" s="3" t="n">
        <v>1</v>
      </c>
      <c r="H100" s="3" t="n">
        <v>0</v>
      </c>
      <c r="I100" s="3" t="n">
        <v>1.31</v>
      </c>
      <c r="J100" s="3" t="n">
        <v>1</v>
      </c>
      <c r="K100" s="4" t="n">
        <v>350</v>
      </c>
      <c r="L100" s="3" t="n">
        <v>0</v>
      </c>
      <c r="M100" s="5">
        <f>IF(MAX($J$2:$J$189)&lt;=0,0,LOG10(J100+1)/LOG10(MAX($J$2:$J$189)+1)*100)*$Q$2+IF(MAX($K$2:$K$189)&lt;=0,0,LOG10(K100+1)/LOG10(MAX($K$2:$K$189)+1)*100)*$Q$3+IF(MAX($F$2:$F$189)&lt;=0,0,LOG10(F100+1)/LOG10(MAX($F$2:$F$189)+1)*100)*$Q$4</f>
        <v/>
      </c>
      <c r="N100" s="6" t="n"/>
      <c r="O100" s="7" t="inlineStr">
        <is>
          <t>brak (surowiec końcowy / nie jest komponentem)</t>
        </is>
      </c>
      <c r="P100" s="3" t="inlineStr">
        <is>
          <t>N/A (Overframe wyłączony w config.py)</t>
        </is>
      </c>
      <c r="Q100" s="3" t="inlineStr">
        <is>
          <t>This helmet is worn by Loki, and adds Ability Range, with a reduction to Health.</t>
        </is>
      </c>
      <c r="R100" s="3" t="inlineStr">
        <is>
          <t>2026-07-26 14:33</t>
        </is>
      </c>
    </row>
    <row r="101">
      <c r="A101" s="3" t="n">
        <v>100</v>
      </c>
      <c r="B101" s="3" t="inlineStr">
        <is>
          <t>Arcane Escapist</t>
        </is>
      </c>
      <c r="C101" s="3" t="inlineStr">
        <is>
          <t>Arcanes</t>
        </is>
      </c>
      <c r="D101" s="4" t="n">
        <v>3</v>
      </c>
      <c r="E101" s="4" t="n">
        <v>3.2</v>
      </c>
      <c r="F101" s="3" t="n">
        <v>18</v>
      </c>
      <c r="G101" s="3" t="n">
        <v>55</v>
      </c>
      <c r="H101" s="3" t="n">
        <v>62</v>
      </c>
      <c r="I101" s="3" t="n">
        <v>11.6</v>
      </c>
      <c r="J101" s="3" t="n">
        <v>21</v>
      </c>
      <c r="K101" s="4" t="n">
        <v>3.2</v>
      </c>
      <c r="L101" s="3" t="n">
        <v>0</v>
      </c>
      <c r="M101" s="5">
        <f>IF(MAX($J$2:$J$189)&lt;=0,0,LOG10(J101+1)/LOG10(MAX($J$2:$J$189)+1)*100)*$Q$2+IF(MAX($K$2:$K$189)&lt;=0,0,LOG10(K101+1)/LOG10(MAX($K$2:$K$189)+1)*100)*$Q$3+IF(MAX($F$2:$F$189)&lt;=0,0,LOG10(F101+1)/LOG10(MAX($F$2:$F$189)+1)*100)*$Q$4</f>
        <v/>
      </c>
      <c r="N101" s="6" t="n">
        <v>0.06</v>
      </c>
      <c r="O101" s="7" t="inlineStr">
        <is>
          <t>brak (surowiec końcowy / nie jest komponentem)</t>
        </is>
      </c>
      <c r="P101" s="3" t="inlineStr">
        <is>
          <t>N/A (Overframe wyłączony w config.py)</t>
        </is>
      </c>
      <c r="Q101" s="3" t="inlineStr">
        <is>
          <t>Brak opisu w WFCD - sprawdź ręcznie: https://wiki.warframe.com/w/Arcane_Escapist</t>
        </is>
      </c>
      <c r="R101" s="3" t="inlineStr">
        <is>
          <t>2026-07-26 14:33</t>
        </is>
      </c>
    </row>
    <row r="102">
      <c r="A102" s="3" t="n">
        <v>101</v>
      </c>
      <c r="B102" s="3" t="inlineStr">
        <is>
          <t>Molt Vigor</t>
        </is>
      </c>
      <c r="C102" s="3" t="inlineStr">
        <is>
          <t>Arcanes</t>
        </is>
      </c>
      <c r="D102" s="4" t="n">
        <v>2</v>
      </c>
      <c r="E102" s="4" t="n">
        <v>2.4</v>
      </c>
      <c r="F102" s="3" t="n">
        <v>18</v>
      </c>
      <c r="G102" s="3" t="n">
        <v>53</v>
      </c>
      <c r="H102" s="3" t="n">
        <v>215</v>
      </c>
      <c r="I102" s="3" t="n">
        <v>43.75</v>
      </c>
      <c r="J102" s="3" t="n">
        <v>76</v>
      </c>
      <c r="K102" s="4" t="n">
        <v>2.4</v>
      </c>
      <c r="L102" s="3" t="n">
        <v>0</v>
      </c>
      <c r="M102" s="5">
        <f>IF(MAX($J$2:$J$189)&lt;=0,0,LOG10(J102+1)/LOG10(MAX($J$2:$J$189)+1)*100)*$Q$2+IF(MAX($K$2:$K$189)&lt;=0,0,LOG10(K102+1)/LOG10(MAX($K$2:$K$189)+1)*100)*$Q$3+IF(MAX($F$2:$F$189)&lt;=0,0,LOG10(F102+1)/LOG10(MAX($F$2:$F$189)+1)*100)*$Q$4</f>
        <v/>
      </c>
      <c r="N102" s="6" t="n">
        <v>0.34</v>
      </c>
      <c r="O102" s="7" t="inlineStr">
        <is>
          <t>brak (surowiec końcowy / nie jest komponentem)</t>
        </is>
      </c>
      <c r="P102" s="3" t="inlineStr">
        <is>
          <t>N/A (Overframe wyłączony w config.py)</t>
        </is>
      </c>
      <c r="Q102" s="3" t="inlineStr">
        <is>
          <t>Brak opisu w WFCD - sprawdź ręcznie: https://wiki.warframe.com/w/Molt_Vigor</t>
        </is>
      </c>
      <c r="R102" s="3" t="inlineStr">
        <is>
          <t>2026-07-26 14:33</t>
        </is>
      </c>
    </row>
    <row r="103">
      <c r="A103" s="3" t="n">
        <v>102</v>
      </c>
      <c r="B103" s="3" t="inlineStr">
        <is>
          <t>Eternal Logistics</t>
        </is>
      </c>
      <c r="C103" s="3" t="inlineStr">
        <is>
          <t>Arcanes</t>
        </is>
      </c>
      <c r="D103" s="4" t="n">
        <v>3</v>
      </c>
      <c r="E103" s="4" t="n">
        <v>3</v>
      </c>
      <c r="F103" s="3" t="n">
        <v>18</v>
      </c>
      <c r="G103" s="3" t="n">
        <v>40</v>
      </c>
      <c r="H103" s="3" t="n">
        <v>172</v>
      </c>
      <c r="I103" s="3" t="n">
        <v>45.21</v>
      </c>
      <c r="J103" s="3" t="n">
        <v>66</v>
      </c>
      <c r="K103" s="4" t="n">
        <v>3</v>
      </c>
      <c r="L103" s="3" t="n">
        <v>0</v>
      </c>
      <c r="M103" s="5">
        <f>IF(MAX($J$2:$J$189)&lt;=0,0,LOG10(J103+1)/LOG10(MAX($J$2:$J$189)+1)*100)*$Q$2+IF(MAX($K$2:$K$189)&lt;=0,0,LOG10(K103+1)/LOG10(MAX($K$2:$K$189)+1)*100)*$Q$3+IF(MAX($F$2:$F$189)&lt;=0,0,LOG10(F103+1)/LOG10(MAX($F$2:$F$189)+1)*100)*$Q$4</f>
        <v/>
      </c>
      <c r="N103" s="6" t="n">
        <v>0.43</v>
      </c>
      <c r="O103" s="7" t="inlineStr">
        <is>
          <t>brak (surowiec końcowy / nie jest komponentem)</t>
        </is>
      </c>
      <c r="P103" s="3" t="inlineStr">
        <is>
          <t>N/A (Overframe wyłączony w config.py)</t>
        </is>
      </c>
      <c r="Q103" s="3" t="inlineStr">
        <is>
          <t>Brak opisu w WFCD - sprawdź ręcznie: https://wiki.warframe.com/w/Eternal_Logistics</t>
        </is>
      </c>
      <c r="R103" s="3" t="inlineStr">
        <is>
          <t>2026-07-26 14:33</t>
        </is>
      </c>
    </row>
    <row r="104">
      <c r="A104" s="3" t="n">
        <v>103</v>
      </c>
      <c r="B104" s="3" t="inlineStr">
        <is>
          <t>Pax Charge</t>
        </is>
      </c>
      <c r="C104" s="3" t="inlineStr">
        <is>
          <t>Arcanes</t>
        </is>
      </c>
      <c r="D104" s="4" t="n">
        <v>6</v>
      </c>
      <c r="E104" s="4" t="n">
        <v>8.800000000000001</v>
      </c>
      <c r="F104" s="3" t="n">
        <v>18</v>
      </c>
      <c r="G104" s="3" t="n">
        <v>31</v>
      </c>
      <c r="H104" s="3" t="n">
        <v>46</v>
      </c>
      <c r="I104" s="3" t="n">
        <v>14.82</v>
      </c>
      <c r="J104" s="3" t="n">
        <v>19</v>
      </c>
      <c r="K104" s="4" t="n">
        <v>8.800000000000001</v>
      </c>
      <c r="L104" s="3" t="n">
        <v>0</v>
      </c>
      <c r="M104" s="5">
        <f>IF(MAX($J$2:$J$189)&lt;=0,0,LOG10(J104+1)/LOG10(MAX($J$2:$J$189)+1)*100)*$Q$2+IF(MAX($K$2:$K$189)&lt;=0,0,LOG10(K104+1)/LOG10(MAX($K$2:$K$189)+1)*100)*$Q$3+IF(MAX($F$2:$F$189)&lt;=0,0,LOG10(F104+1)/LOG10(MAX($F$2:$F$189)+1)*100)*$Q$4</f>
        <v/>
      </c>
      <c r="N104" s="6" t="n"/>
      <c r="O104" s="7" t="inlineStr">
        <is>
          <t>brak (surowiec końcowy / nie jest komponentem)</t>
        </is>
      </c>
      <c r="P104" s="3" t="inlineStr">
        <is>
          <t>N/A (Overframe wyłączony w config.py)</t>
        </is>
      </c>
      <c r="Q104" s="3" t="inlineStr">
        <is>
          <t>Brak opisu w WFCD - sprawdź ręcznie: https://wiki.warframe.com/w/Pax_Charge</t>
        </is>
      </c>
      <c r="R104" s="3" t="inlineStr">
        <is>
          <t>2026-07-26 14:33</t>
        </is>
      </c>
    </row>
    <row r="105">
      <c r="A105" s="3" t="n">
        <v>104</v>
      </c>
      <c r="B105" s="3" t="inlineStr">
        <is>
          <t>Primary Obstruct</t>
        </is>
      </c>
      <c r="C105" s="3" t="inlineStr">
        <is>
          <t>Arcanes</t>
        </is>
      </c>
      <c r="D105" s="4" t="n">
        <v>3</v>
      </c>
      <c r="E105" s="4" t="n">
        <v>6.6</v>
      </c>
      <c r="F105" s="3" t="n">
        <v>18</v>
      </c>
      <c r="G105" s="3" t="n">
        <v>18</v>
      </c>
      <c r="H105" s="3" t="n">
        <v>18</v>
      </c>
      <c r="I105" s="3" t="n">
        <v>8.390000000000001</v>
      </c>
      <c r="J105" s="3" t="n">
        <v>9</v>
      </c>
      <c r="K105" s="4" t="n">
        <v>6.6</v>
      </c>
      <c r="L105" s="3" t="n">
        <v>0</v>
      </c>
      <c r="M105" s="5">
        <f>IF(MAX($J$2:$J$189)&lt;=0,0,LOG10(J105+1)/LOG10(MAX($J$2:$J$189)+1)*100)*$Q$2+IF(MAX($K$2:$K$189)&lt;=0,0,LOG10(K105+1)/LOG10(MAX($K$2:$K$189)+1)*100)*$Q$3+IF(MAX($F$2:$F$189)&lt;=0,0,LOG10(F105+1)/LOG10(MAX($F$2:$F$189)+1)*100)*$Q$4</f>
        <v/>
      </c>
      <c r="N105" s="6" t="n">
        <v>0.07000000000000001</v>
      </c>
      <c r="O105" s="7" t="inlineStr">
        <is>
          <t>brak (surowiec końcowy / nie jest komponentem)</t>
        </is>
      </c>
      <c r="P105" s="3" t="inlineStr">
        <is>
          <t>N/A (Overframe wyłączony w config.py)</t>
        </is>
      </c>
      <c r="Q105" s="3" t="inlineStr">
        <is>
          <t>Brak opisu w WFCD - sprawdź ręcznie: https://wiki.warframe.com/w/Primary_Obstruct</t>
        </is>
      </c>
      <c r="R105" s="3" t="inlineStr">
        <is>
          <t>2026-07-26 14:33</t>
        </is>
      </c>
    </row>
    <row r="106">
      <c r="A106" s="3" t="n">
        <v>105</v>
      </c>
      <c r="B106" s="3" t="inlineStr">
        <is>
          <t>Magus Overload</t>
        </is>
      </c>
      <c r="C106" s="3" t="inlineStr">
        <is>
          <t>Arcanes</t>
        </is>
      </c>
      <c r="D106" s="4" t="n">
        <v>8</v>
      </c>
      <c r="E106" s="4" t="n">
        <v>70.59999999999999</v>
      </c>
      <c r="F106" s="3" t="n">
        <v>18</v>
      </c>
      <c r="G106" s="3" t="n">
        <v>17</v>
      </c>
      <c r="H106" s="3" t="n">
        <v>4</v>
      </c>
      <c r="I106" s="3" t="n">
        <v>2.56</v>
      </c>
      <c r="J106" s="3" t="n">
        <v>2</v>
      </c>
      <c r="K106" s="4" t="n">
        <v>70.59999999999999</v>
      </c>
      <c r="L106" s="3" t="n">
        <v>0</v>
      </c>
      <c r="M106" s="5">
        <f>IF(MAX($J$2:$J$189)&lt;=0,0,LOG10(J106+1)/LOG10(MAX($J$2:$J$189)+1)*100)*$Q$2+IF(MAX($K$2:$K$189)&lt;=0,0,LOG10(K106+1)/LOG10(MAX($K$2:$K$189)+1)*100)*$Q$3+IF(MAX($F$2:$F$189)&lt;=0,0,LOG10(F106+1)/LOG10(MAX($F$2:$F$189)+1)*100)*$Q$4</f>
        <v/>
      </c>
      <c r="N106" s="6" t="n">
        <v>10.09</v>
      </c>
      <c r="O106" s="7" t="inlineStr">
        <is>
          <t>brak (surowiec końcowy / nie jest komponentem)</t>
        </is>
      </c>
      <c r="P106" s="3" t="inlineStr">
        <is>
          <t>N/A (Overframe wyłączony w config.py)</t>
        </is>
      </c>
      <c r="Q106" s="3" t="inlineStr">
        <is>
          <t>Brak opisu w WFCD - sprawdź ręcznie: https://wiki.warframe.com/w/Magus_Overload</t>
        </is>
      </c>
      <c r="R106" s="3" t="inlineStr">
        <is>
          <t>2026-07-26 14:33</t>
        </is>
      </c>
    </row>
    <row r="107">
      <c r="A107" s="3" t="n">
        <v>106</v>
      </c>
      <c r="B107" s="3" t="inlineStr">
        <is>
          <t>Arcane Avalon Helmet</t>
        </is>
      </c>
      <c r="C107" s="3" t="inlineStr">
        <is>
          <t>Skins</t>
        </is>
      </c>
      <c r="D107" s="4" t="n">
        <v>200</v>
      </c>
      <c r="E107" s="4" t="n">
        <v>266.7</v>
      </c>
      <c r="F107" s="3" t="n">
        <v>17</v>
      </c>
      <c r="G107" s="3" t="n">
        <v>3</v>
      </c>
      <c r="H107" s="3" t="n">
        <v>1</v>
      </c>
      <c r="I107" s="3" t="n">
        <v>1.55</v>
      </c>
      <c r="J107" s="3" t="n">
        <v>1</v>
      </c>
      <c r="K107" s="4" t="n">
        <v>266.7</v>
      </c>
      <c r="L107" s="3" t="n">
        <v>0</v>
      </c>
      <c r="M107" s="5">
        <f>IF(MAX($J$2:$J$189)&lt;=0,0,LOG10(J107+1)/LOG10(MAX($J$2:$J$189)+1)*100)*$Q$2+IF(MAX($K$2:$K$189)&lt;=0,0,LOG10(K107+1)/LOG10(MAX($K$2:$K$189)+1)*100)*$Q$3+IF(MAX($F$2:$F$189)&lt;=0,0,LOG10(F107+1)/LOG10(MAX($F$2:$F$189)+1)*100)*$Q$4</f>
        <v/>
      </c>
      <c r="N107" s="6" t="n"/>
      <c r="O107" s="7" t="inlineStr">
        <is>
          <t>brak (surowiec końcowy / nie jest komponentem)</t>
        </is>
      </c>
      <c r="P107" s="3" t="inlineStr">
        <is>
          <t>N/A (Overframe wyłączony w config.py)</t>
        </is>
      </c>
      <c r="Q107" s="3" t="inlineStr">
        <is>
          <t>This helmet is worn by Excalibur, increases Shields at the expense of Health.</t>
        </is>
      </c>
      <c r="R107" s="3" t="inlineStr">
        <is>
          <t>2026-07-26 14:33</t>
        </is>
      </c>
    </row>
    <row r="108">
      <c r="A108" s="3" t="n">
        <v>107</v>
      </c>
      <c r="B108" s="3" t="inlineStr">
        <is>
          <t>Arcane Locust Helmet</t>
        </is>
      </c>
      <c r="C108" s="3" t="inlineStr">
        <is>
          <t>Skins</t>
        </is>
      </c>
      <c r="D108" s="4" t="n">
        <v>300</v>
      </c>
      <c r="E108" s="4" t="n">
        <v>300</v>
      </c>
      <c r="F108" s="3" t="n">
        <v>17</v>
      </c>
      <c r="G108" s="3" t="n">
        <v>1</v>
      </c>
      <c r="H108" s="3" t="n">
        <v>1</v>
      </c>
      <c r="I108" s="3" t="n">
        <v>1.29</v>
      </c>
      <c r="J108" s="3" t="n">
        <v>1</v>
      </c>
      <c r="K108" s="4" t="n">
        <v>300</v>
      </c>
      <c r="L108" s="3" t="n">
        <v>0</v>
      </c>
      <c r="M108" s="5">
        <f>IF(MAX($J$2:$J$189)&lt;=0,0,LOG10(J108+1)/LOG10(MAX($J$2:$J$189)+1)*100)*$Q$2+IF(MAX($K$2:$K$189)&lt;=0,0,LOG10(K108+1)/LOG10(MAX($K$2:$K$189)+1)*100)*$Q$3+IF(MAX($F$2:$F$189)&lt;=0,0,LOG10(F108+1)/LOG10(MAX($F$2:$F$189)+1)*100)*$Q$4</f>
        <v/>
      </c>
      <c r="N108" s="6" t="n"/>
      <c r="O108" s="7" t="inlineStr">
        <is>
          <t>brak (surowiec końcowy / nie jest komponentem)</t>
        </is>
      </c>
      <c r="P108" s="3" t="inlineStr">
        <is>
          <t>N/A (Overframe wyłączony w config.py)</t>
        </is>
      </c>
      <c r="Q108" s="3" t="inlineStr">
        <is>
          <t>This helmet is worn by Ash, and adds Energy Capacity, with a reduction to Speed.</t>
        </is>
      </c>
      <c r="R108" s="3" t="inlineStr">
        <is>
          <t>2026-07-26 14:33</t>
        </is>
      </c>
    </row>
    <row r="109">
      <c r="A109" s="3" t="n">
        <v>108</v>
      </c>
      <c r="B109" s="3" t="inlineStr">
        <is>
          <t>Pax Seeker</t>
        </is>
      </c>
      <c r="C109" s="3" t="inlineStr">
        <is>
          <t>Arcanes</t>
        </is>
      </c>
      <c r="D109" s="4" t="n">
        <v>8</v>
      </c>
      <c r="E109" s="4" t="n">
        <v>31.4</v>
      </c>
      <c r="F109" s="3" t="n">
        <v>16</v>
      </c>
      <c r="G109" s="3" t="n">
        <v>18</v>
      </c>
      <c r="H109" s="3" t="n">
        <v>17</v>
      </c>
      <c r="I109" s="3" t="n">
        <v>4.44</v>
      </c>
      <c r="J109" s="3" t="n">
        <v>6</v>
      </c>
      <c r="K109" s="4" t="n">
        <v>31.4</v>
      </c>
      <c r="L109" s="3" t="n">
        <v>0</v>
      </c>
      <c r="M109" s="5">
        <f>IF(MAX($J$2:$J$189)&lt;=0,0,LOG10(J109+1)/LOG10(MAX($J$2:$J$189)+1)*100)*$Q$2+IF(MAX($K$2:$K$189)&lt;=0,0,LOG10(K109+1)/LOG10(MAX($K$2:$K$189)+1)*100)*$Q$3+IF(MAX($F$2:$F$189)&lt;=0,0,LOG10(F109+1)/LOG10(MAX($F$2:$F$189)+1)*100)*$Q$4</f>
        <v/>
      </c>
      <c r="N109" s="6" t="n">
        <v>4.49</v>
      </c>
      <c r="O109" s="7" t="inlineStr">
        <is>
          <t>brak (surowiec końcowy / nie jest komponentem)</t>
        </is>
      </c>
      <c r="P109" s="3" t="inlineStr">
        <is>
          <t>N/A (Overframe wyłączony w config.py)</t>
        </is>
      </c>
      <c r="Q109" s="3" t="inlineStr">
        <is>
          <t>Brak opisu w WFCD - sprawdź ręcznie: https://wiki.warframe.com/w/Pax_Seeker</t>
        </is>
      </c>
      <c r="R109" s="3" t="inlineStr">
        <is>
          <t>2026-07-26 14:33</t>
        </is>
      </c>
    </row>
    <row r="110">
      <c r="A110" s="3" t="n">
        <v>109</v>
      </c>
      <c r="B110" s="3" t="inlineStr">
        <is>
          <t>Secondary Kinship</t>
        </is>
      </c>
      <c r="C110" s="3" t="inlineStr">
        <is>
          <t>Arcanes</t>
        </is>
      </c>
      <c r="D110" s="4" t="n">
        <v>3</v>
      </c>
      <c r="E110" s="4" t="n">
        <v>21.6</v>
      </c>
      <c r="F110" s="3" t="n">
        <v>16</v>
      </c>
      <c r="G110" s="3" t="n">
        <v>14</v>
      </c>
      <c r="H110" s="3" t="n">
        <v>24</v>
      </c>
      <c r="I110" s="3" t="n">
        <v>5.48</v>
      </c>
      <c r="J110" s="3" t="n">
        <v>9</v>
      </c>
      <c r="K110" s="4" t="n">
        <v>21.6</v>
      </c>
      <c r="L110" s="3" t="n">
        <v>0</v>
      </c>
      <c r="M110" s="5">
        <f>IF(MAX($J$2:$J$189)&lt;=0,0,LOG10(J110+1)/LOG10(MAX($J$2:$J$189)+1)*100)*$Q$2+IF(MAX($K$2:$K$189)&lt;=0,0,LOG10(K110+1)/LOG10(MAX($K$2:$K$189)+1)*100)*$Q$3+IF(MAX($F$2:$F$189)&lt;=0,0,LOG10(F110+1)/LOG10(MAX($F$2:$F$189)+1)*100)*$Q$4</f>
        <v/>
      </c>
      <c r="N110" s="6" t="n">
        <v>0.21</v>
      </c>
      <c r="O110" s="7" t="inlineStr">
        <is>
          <t>brak (surowiec końcowy / nie jest komponentem)</t>
        </is>
      </c>
      <c r="P110" s="3" t="inlineStr">
        <is>
          <t>N/A (Overframe wyłączony w config.py)</t>
        </is>
      </c>
      <c r="Q110" s="3" t="inlineStr">
        <is>
          <t>Brak opisu w WFCD - sprawdź ręcznie: https://wiki.warframe.com/w/Secondary_Kinship</t>
        </is>
      </c>
      <c r="R110" s="3" t="inlineStr">
        <is>
          <t>2026-07-26 14:33</t>
        </is>
      </c>
    </row>
    <row r="111">
      <c r="A111" s="3" t="n">
        <v>110</v>
      </c>
      <c r="B111" s="3" t="inlineStr">
        <is>
          <t>Arcane Backdraft Helmet</t>
        </is>
      </c>
      <c r="C111" s="3" t="inlineStr">
        <is>
          <t>Skins</t>
        </is>
      </c>
      <c r="D111" s="4" t="n">
        <v>270</v>
      </c>
      <c r="E111" s="4" t="n">
        <v>523.6</v>
      </c>
      <c r="F111" s="3" t="n">
        <v>15</v>
      </c>
      <c r="G111" s="3" t="n">
        <v>5</v>
      </c>
      <c r="H111" s="3" t="n">
        <v>0</v>
      </c>
      <c r="I111" s="3" t="n">
        <v>1.17</v>
      </c>
      <c r="J111" s="3" t="n">
        <v>1</v>
      </c>
      <c r="K111" s="4" t="n">
        <v>523.6</v>
      </c>
      <c r="L111" s="3" t="n">
        <v>0</v>
      </c>
      <c r="M111" s="5">
        <f>IF(MAX($J$2:$J$189)&lt;=0,0,LOG10(J111+1)/LOG10(MAX($J$2:$J$189)+1)*100)*$Q$2+IF(MAX($K$2:$K$189)&lt;=0,0,LOG10(K111+1)/LOG10(MAX($K$2:$K$189)+1)*100)*$Q$3+IF(MAX($F$2:$F$189)&lt;=0,0,LOG10(F111+1)/LOG10(MAX($F$2:$F$189)+1)*100)*$Q$4</f>
        <v/>
      </c>
      <c r="N111" s="6" t="n"/>
      <c r="O111" s="7" t="inlineStr">
        <is>
          <t>brak (surowiec końcowy / nie jest komponentem)</t>
        </is>
      </c>
      <c r="P111" s="3" t="inlineStr">
        <is>
          <t>N/A (Overframe wyłączony w config.py)</t>
        </is>
      </c>
      <c r="Q111" s="3" t="inlineStr">
        <is>
          <t>This helmet is worn by Ember, and adds Health, with a reduction to Speed.</t>
        </is>
      </c>
      <c r="R111" s="3" t="inlineStr">
        <is>
          <t>2026-07-26 14:33</t>
        </is>
      </c>
    </row>
    <row r="112">
      <c r="A112" s="3" t="n">
        <v>111</v>
      </c>
      <c r="B112" s="3" t="inlineStr">
        <is>
          <t>Arcane Essence Helmet</t>
        </is>
      </c>
      <c r="C112" s="3" t="inlineStr">
        <is>
          <t>Skins</t>
        </is>
      </c>
      <c r="D112" s="4" t="n">
        <v>300</v>
      </c>
      <c r="E112" s="4" t="n">
        <v>1698</v>
      </c>
      <c r="F112" s="3" t="n">
        <v>15</v>
      </c>
      <c r="G112" s="3" t="n">
        <v>5</v>
      </c>
      <c r="H112" s="3" t="n">
        <v>0</v>
      </c>
      <c r="I112" s="3" t="n">
        <v>1.44</v>
      </c>
      <c r="J112" s="3" t="n">
        <v>1</v>
      </c>
      <c r="K112" s="4" t="n">
        <v>1698</v>
      </c>
      <c r="L112" s="3" t="n">
        <v>0</v>
      </c>
      <c r="M112" s="5">
        <f>IF(MAX($J$2:$J$189)&lt;=0,0,LOG10(J112+1)/LOG10(MAX($J$2:$J$189)+1)*100)*$Q$2+IF(MAX($K$2:$K$189)&lt;=0,0,LOG10(K112+1)/LOG10(MAX($K$2:$K$189)+1)*100)*$Q$3+IF(MAX($F$2:$F$189)&lt;=0,0,LOG10(F112+1)/LOG10(MAX($F$2:$F$189)+1)*100)*$Q$4</f>
        <v/>
      </c>
      <c r="N112" s="6" t="n"/>
      <c r="O112" s="7" t="inlineStr">
        <is>
          <t>brak (surowiec końcowy / nie jest komponentem)</t>
        </is>
      </c>
      <c r="P112" s="3" t="inlineStr">
        <is>
          <t>N/A (Overframe wyłączony w config.py)</t>
        </is>
      </c>
      <c r="Q112" s="3" t="inlineStr">
        <is>
          <t>This helmet is worn by Loki, increases Ability Efficiency, but reduces Armor.</t>
        </is>
      </c>
      <c r="R112" s="3" t="inlineStr">
        <is>
          <t>2026-07-26 14:33</t>
        </is>
      </c>
    </row>
    <row r="113">
      <c r="A113" s="3" t="n">
        <v>112</v>
      </c>
      <c r="B113" s="3" t="inlineStr">
        <is>
          <t>Secondary Surge</t>
        </is>
      </c>
      <c r="C113" s="3" t="inlineStr">
        <is>
          <t>Arcanes</t>
        </is>
      </c>
      <c r="D113" s="4" t="n">
        <v>1</v>
      </c>
      <c r="E113" s="4" t="n">
        <v>1.8</v>
      </c>
      <c r="F113" s="3" t="n">
        <v>14</v>
      </c>
      <c r="G113" s="3" t="n">
        <v>25</v>
      </c>
      <c r="H113" s="3" t="n">
        <v>11</v>
      </c>
      <c r="I113" s="3" t="n">
        <v>10.2</v>
      </c>
      <c r="J113" s="3" t="n">
        <v>8</v>
      </c>
      <c r="K113" s="4" t="n">
        <v>1.8</v>
      </c>
      <c r="L113" s="3" t="n">
        <v>0</v>
      </c>
      <c r="M113" s="5">
        <f>IF(MAX($J$2:$J$189)&lt;=0,0,LOG10(J113+1)/LOG10(MAX($J$2:$J$189)+1)*100)*$Q$2+IF(MAX($K$2:$K$189)&lt;=0,0,LOG10(K113+1)/LOG10(MAX($K$2:$K$189)+1)*100)*$Q$3+IF(MAX($F$2:$F$189)&lt;=0,0,LOG10(F113+1)/LOG10(MAX($F$2:$F$189)+1)*100)*$Q$4</f>
        <v/>
      </c>
      <c r="N113" s="6" t="n">
        <v>0.04</v>
      </c>
      <c r="O113" s="7" t="inlineStr">
        <is>
          <t>brak (surowiec końcowy / nie jest komponentem)</t>
        </is>
      </c>
      <c r="P113" s="3" t="inlineStr">
        <is>
          <t>N/A (Overframe wyłączony w config.py)</t>
        </is>
      </c>
      <c r="Q113" s="3" t="inlineStr">
        <is>
          <t>Brak opisu w WFCD - sprawdź ręcznie: https://wiki.warframe.com/w/Secondary_Surge</t>
        </is>
      </c>
      <c r="R113" s="3" t="inlineStr">
        <is>
          <t>2026-07-26 14:33</t>
        </is>
      </c>
    </row>
    <row r="114">
      <c r="A114" s="3" t="n">
        <v>113</v>
      </c>
      <c r="B114" s="3" t="inlineStr">
        <is>
          <t>Virtuos Trojan</t>
        </is>
      </c>
      <c r="C114" s="3" t="inlineStr">
        <is>
          <t>Arcanes</t>
        </is>
      </c>
      <c r="D114" s="4" t="n">
        <v>7</v>
      </c>
      <c r="E114" s="4" t="n">
        <v>41.8</v>
      </c>
      <c r="F114" s="3" t="n">
        <v>14</v>
      </c>
      <c r="G114" s="3" t="n">
        <v>11</v>
      </c>
      <c r="H114" s="3" t="n">
        <v>20</v>
      </c>
      <c r="I114" s="3" t="n">
        <v>3.45</v>
      </c>
      <c r="J114" s="3" t="n">
        <v>7</v>
      </c>
      <c r="K114" s="4" t="n">
        <v>41.8</v>
      </c>
      <c r="L114" s="3" t="n">
        <v>0</v>
      </c>
      <c r="M114" s="5">
        <f>IF(MAX($J$2:$J$189)&lt;=0,0,LOG10(J114+1)/LOG10(MAX($J$2:$J$189)+1)*100)*$Q$2+IF(MAX($K$2:$K$189)&lt;=0,0,LOG10(K114+1)/LOG10(MAX($K$2:$K$189)+1)*100)*$Q$3+IF(MAX($F$2:$F$189)&lt;=0,0,LOG10(F114+1)/LOG10(MAX($F$2:$F$189)+1)*100)*$Q$4</f>
        <v/>
      </c>
      <c r="N114" s="6" t="n">
        <v>5.97</v>
      </c>
      <c r="O114" s="7" t="inlineStr">
        <is>
          <t>brak (surowiec końcowy / nie jest komponentem)</t>
        </is>
      </c>
      <c r="P114" s="3" t="inlineStr">
        <is>
          <t>N/A (Overframe wyłączony w config.py)</t>
        </is>
      </c>
      <c r="Q114" s="3" t="inlineStr">
        <is>
          <t>Brak opisu w WFCD - sprawdź ręcznie: https://wiki.warframe.com/w/Virtuos_Trojan</t>
        </is>
      </c>
      <c r="R114" s="3" t="inlineStr">
        <is>
          <t>2026-07-26 14:33</t>
        </is>
      </c>
    </row>
    <row r="115">
      <c r="A115" s="3" t="n">
        <v>114</v>
      </c>
      <c r="B115" s="3" t="inlineStr">
        <is>
          <t>Arcane Flux Helmet</t>
        </is>
      </c>
      <c r="C115" s="3" t="inlineStr">
        <is>
          <t>Skins</t>
        </is>
      </c>
      <c r="D115" s="4" t="n">
        <v>250</v>
      </c>
      <c r="E115" s="4" t="n">
        <v>662.5</v>
      </c>
      <c r="F115" s="3" t="n">
        <v>14</v>
      </c>
      <c r="G115" s="3" t="n">
        <v>4</v>
      </c>
      <c r="H115" s="3" t="n">
        <v>1</v>
      </c>
      <c r="I115" s="3" t="n">
        <v>1.38</v>
      </c>
      <c r="J115" s="3" t="n">
        <v>1</v>
      </c>
      <c r="K115" s="4" t="n">
        <v>662.5</v>
      </c>
      <c r="L115" s="3" t="n">
        <v>0</v>
      </c>
      <c r="M115" s="5">
        <f>IF(MAX($J$2:$J$189)&lt;=0,0,LOG10(J115+1)/LOG10(MAX($J$2:$J$189)+1)*100)*$Q$2+IF(MAX($K$2:$K$189)&lt;=0,0,LOG10(K115+1)/LOG10(MAX($K$2:$K$189)+1)*100)*$Q$3+IF(MAX($F$2:$F$189)&lt;=0,0,LOG10(F115+1)/LOG10(MAX($F$2:$F$189)+1)*100)*$Q$4</f>
        <v/>
      </c>
      <c r="N115" s="6" t="n"/>
      <c r="O115" s="7" t="inlineStr">
        <is>
          <t>brak (surowiec końcowy / nie jest komponentem)</t>
        </is>
      </c>
      <c r="P115" s="3" t="inlineStr">
        <is>
          <t>N/A (Overframe wyłączony w config.py)</t>
        </is>
      </c>
      <c r="Q115" s="3" t="inlineStr">
        <is>
          <t>This helmet is worn by Nova, and increases duration of Aim Glide and Wall Latch, but reduces Health.</t>
        </is>
      </c>
      <c r="R115" s="3" t="inlineStr">
        <is>
          <t>2026-07-26 14:33</t>
        </is>
      </c>
    </row>
    <row r="116">
      <c r="A116" s="3" t="n">
        <v>115</v>
      </c>
      <c r="B116" s="3" t="inlineStr">
        <is>
          <t>Arcane Thrak Helmet</t>
        </is>
      </c>
      <c r="C116" s="3" t="inlineStr">
        <is>
          <t>Skins</t>
        </is>
      </c>
      <c r="D116" s="4" t="n">
        <v>110</v>
      </c>
      <c r="E116" s="4" t="n">
        <v>269.7</v>
      </c>
      <c r="F116" s="3" t="n">
        <v>14</v>
      </c>
      <c r="G116" s="3" t="n">
        <v>3</v>
      </c>
      <c r="H116" s="3" t="n">
        <v>0</v>
      </c>
      <c r="I116" s="3" t="n">
        <v>1.42</v>
      </c>
      <c r="J116" s="3" t="n">
        <v>1</v>
      </c>
      <c r="K116" s="4" t="n">
        <v>269.7</v>
      </c>
      <c r="L116" s="3" t="n">
        <v>0</v>
      </c>
      <c r="M116" s="5">
        <f>IF(MAX($J$2:$J$189)&lt;=0,0,LOG10(J116+1)/LOG10(MAX($J$2:$J$189)+1)*100)*$Q$2+IF(MAX($K$2:$K$189)&lt;=0,0,LOG10(K116+1)/LOG10(MAX($K$2:$K$189)+1)*100)*$Q$3+IF(MAX($F$2:$F$189)&lt;=0,0,LOG10(F116+1)/LOG10(MAX($F$2:$F$189)+1)*100)*$Q$4</f>
        <v/>
      </c>
      <c r="N116" s="6" t="n"/>
      <c r="O116" s="7" t="inlineStr">
        <is>
          <t>brak (surowiec końcowy / nie jest komponentem)</t>
        </is>
      </c>
      <c r="P116" s="3" t="inlineStr">
        <is>
          <t>N/A (Overframe wyłączony w config.py)</t>
        </is>
      </c>
      <c r="Q116" s="3" t="inlineStr">
        <is>
          <t>This helmet is worn by Rhino, and increases Health, but reduces Sprint Speed.</t>
        </is>
      </c>
      <c r="R116" s="3" t="inlineStr">
        <is>
          <t>2026-07-26 14:33</t>
        </is>
      </c>
    </row>
    <row r="117">
      <c r="A117" s="3" t="n">
        <v>116</v>
      </c>
      <c r="B117" s="3" t="inlineStr">
        <is>
          <t>Eternal Onslaught</t>
        </is>
      </c>
      <c r="C117" s="3" t="inlineStr">
        <is>
          <t>Arcanes</t>
        </is>
      </c>
      <c r="D117" s="4" t="n">
        <v>2</v>
      </c>
      <c r="E117" s="4" t="n">
        <v>2</v>
      </c>
      <c r="F117" s="3" t="n">
        <v>13</v>
      </c>
      <c r="G117" s="3" t="n">
        <v>56</v>
      </c>
      <c r="H117" s="3" t="n">
        <v>147</v>
      </c>
      <c r="I117" s="3" t="n">
        <v>37.11</v>
      </c>
      <c r="J117" s="3" t="n">
        <v>55</v>
      </c>
      <c r="K117" s="4" t="n">
        <v>2</v>
      </c>
      <c r="L117" s="3" t="n">
        <v>0</v>
      </c>
      <c r="M117" s="5">
        <f>IF(MAX($J$2:$J$189)&lt;=0,0,LOG10(J117+1)/LOG10(MAX($J$2:$J$189)+1)*100)*$Q$2+IF(MAX($K$2:$K$189)&lt;=0,0,LOG10(K117+1)/LOG10(MAX($K$2:$K$189)+1)*100)*$Q$3+IF(MAX($F$2:$F$189)&lt;=0,0,LOG10(F117+1)/LOG10(MAX($F$2:$F$189)+1)*100)*$Q$4</f>
        <v/>
      </c>
      <c r="N117" s="6" t="n">
        <v>0.29</v>
      </c>
      <c r="O117" s="7" t="inlineStr">
        <is>
          <t>brak (surowiec końcowy / nie jest komponentem)</t>
        </is>
      </c>
      <c r="P117" s="3" t="inlineStr">
        <is>
          <t>N/A (Overframe wyłączony w config.py)</t>
        </is>
      </c>
      <c r="Q117" s="3" t="inlineStr">
        <is>
          <t>Brak opisu w WFCD - sprawdź ręcznie: https://wiki.warframe.com/w/Eternal_Onslaught</t>
        </is>
      </c>
      <c r="R117" s="3" t="inlineStr">
        <is>
          <t>2026-07-26 14:33</t>
        </is>
      </c>
    </row>
    <row r="118">
      <c r="A118" s="3" t="n">
        <v>117</v>
      </c>
      <c r="B118" s="3" t="inlineStr">
        <is>
          <t>Magus Nourish</t>
        </is>
      </c>
      <c r="C118" s="3" t="inlineStr">
        <is>
          <t>Arcanes</t>
        </is>
      </c>
      <c r="D118" s="4" t="n">
        <v>5</v>
      </c>
      <c r="E118" s="4" t="n">
        <v>38.8</v>
      </c>
      <c r="F118" s="3" t="n">
        <v>13</v>
      </c>
      <c r="G118" s="3" t="n">
        <v>16</v>
      </c>
      <c r="H118" s="3" t="n">
        <v>7</v>
      </c>
      <c r="I118" s="3" t="n">
        <v>4.18</v>
      </c>
      <c r="J118" s="3" t="n">
        <v>4</v>
      </c>
      <c r="K118" s="4" t="n">
        <v>38.8</v>
      </c>
      <c r="L118" s="3" t="n">
        <v>0</v>
      </c>
      <c r="M118" s="5">
        <f>IF(MAX($J$2:$J$189)&lt;=0,0,LOG10(J118+1)/LOG10(MAX($J$2:$J$189)+1)*100)*$Q$2+IF(MAX($K$2:$K$189)&lt;=0,0,LOG10(K118+1)/LOG10(MAX($K$2:$K$189)+1)*100)*$Q$3+IF(MAX($F$2:$F$189)&lt;=0,0,LOG10(F118+1)/LOG10(MAX($F$2:$F$189)+1)*100)*$Q$4</f>
        <v/>
      </c>
      <c r="N118" s="6" t="n">
        <v>5.54</v>
      </c>
      <c r="O118" s="7" t="inlineStr">
        <is>
          <t>brak (surowiec końcowy / nie jest komponentem)</t>
        </is>
      </c>
      <c r="P118" s="3" t="inlineStr">
        <is>
          <t>N/A (Overframe wyłączony w config.py)</t>
        </is>
      </c>
      <c r="Q118" s="3" t="inlineStr">
        <is>
          <t>Brak opisu w WFCD - sprawdź ręcznie: https://wiki.warframe.com/w/Magus_Nourish</t>
        </is>
      </c>
      <c r="R118" s="3" t="inlineStr">
        <is>
          <t>2026-07-26 14:33</t>
        </is>
      </c>
    </row>
    <row r="119">
      <c r="A119" s="3" t="n">
        <v>118</v>
      </c>
      <c r="B119" s="3" t="inlineStr">
        <is>
          <t>Primary Exhilarate</t>
        </is>
      </c>
      <c r="C119" s="3" t="inlineStr">
        <is>
          <t>Arcanes</t>
        </is>
      </c>
      <c r="D119" s="4" t="n">
        <v>8</v>
      </c>
      <c r="E119" s="4" t="n">
        <v>32.4</v>
      </c>
      <c r="F119" s="3" t="n">
        <v>13</v>
      </c>
      <c r="G119" s="3" t="n">
        <v>12</v>
      </c>
      <c r="H119" s="3" t="n">
        <v>42</v>
      </c>
      <c r="I119" s="3" t="n">
        <v>8.470000000000001</v>
      </c>
      <c r="J119" s="3" t="n">
        <v>15</v>
      </c>
      <c r="K119" s="4" t="n">
        <v>32.4</v>
      </c>
      <c r="L119" s="3" t="n">
        <v>0</v>
      </c>
      <c r="M119" s="5">
        <f>IF(MAX($J$2:$J$189)&lt;=0,0,LOG10(J119+1)/LOG10(MAX($J$2:$J$189)+1)*100)*$Q$2+IF(MAX($K$2:$K$189)&lt;=0,0,LOG10(K119+1)/LOG10(MAX($K$2:$K$189)+1)*100)*$Q$3+IF(MAX($F$2:$F$189)&lt;=0,0,LOG10(F119+1)/LOG10(MAX($F$2:$F$189)+1)*100)*$Q$4</f>
        <v/>
      </c>
      <c r="N119" s="6" t="n">
        <v>0.33</v>
      </c>
      <c r="O119" s="7" t="inlineStr">
        <is>
          <t>brak (surowiec końcowy / nie jest komponentem)</t>
        </is>
      </c>
      <c r="P119" s="3" t="inlineStr">
        <is>
          <t>N/A (Overframe wyłączony w config.py)</t>
        </is>
      </c>
      <c r="Q119" s="3" t="inlineStr">
        <is>
          <t>Brak opisu w WFCD - sprawdź ręcznie: https://wiki.warframe.com/w/Primary_Exhilarate</t>
        </is>
      </c>
      <c r="R119" s="3" t="inlineStr">
        <is>
          <t>2026-07-26 14:33</t>
        </is>
      </c>
    </row>
    <row r="120">
      <c r="A120" s="3" t="n">
        <v>119</v>
      </c>
      <c r="B120" s="3" t="inlineStr">
        <is>
          <t>Arcane Menticide Helmet</t>
        </is>
      </c>
      <c r="C120" s="3" t="inlineStr">
        <is>
          <t>Skins</t>
        </is>
      </c>
      <c r="D120" s="4" t="n">
        <v>190</v>
      </c>
      <c r="E120" s="4" t="n">
        <v>308</v>
      </c>
      <c r="F120" s="3" t="n">
        <v>13</v>
      </c>
      <c r="G120" s="3" t="n">
        <v>5</v>
      </c>
      <c r="H120" s="3" t="n">
        <v>0</v>
      </c>
      <c r="I120" s="3" t="n">
        <v>1.39</v>
      </c>
      <c r="J120" s="3" t="n">
        <v>1</v>
      </c>
      <c r="K120" s="4" t="n">
        <v>308</v>
      </c>
      <c r="L120" s="3" t="n">
        <v>0</v>
      </c>
      <c r="M120" s="5">
        <f>IF(MAX($J$2:$J$189)&lt;=0,0,LOG10(J120+1)/LOG10(MAX($J$2:$J$189)+1)*100)*$Q$2+IF(MAX($K$2:$K$189)&lt;=0,0,LOG10(K120+1)/LOG10(MAX($K$2:$K$189)+1)*100)*$Q$3+IF(MAX($F$2:$F$189)&lt;=0,0,LOG10(F120+1)/LOG10(MAX($F$2:$F$189)+1)*100)*$Q$4</f>
        <v/>
      </c>
      <c r="N120" s="6" t="n"/>
      <c r="O120" s="7" t="inlineStr">
        <is>
          <t>brak (surowiec końcowy / nie jest komponentem)</t>
        </is>
      </c>
      <c r="P120" s="3" t="inlineStr">
        <is>
          <t>N/A (Overframe wyłączony w config.py)</t>
        </is>
      </c>
      <c r="Q120" s="3" t="inlineStr">
        <is>
          <t>This helmet is worn by Nyx, and increases velocity of parkour maneuvers, but reduces Shields.</t>
        </is>
      </c>
      <c r="R120" s="3" t="inlineStr">
        <is>
          <t>2026-07-26 14:33</t>
        </is>
      </c>
    </row>
    <row r="121">
      <c r="A121" s="3" t="n">
        <v>120</v>
      </c>
      <c r="B121" s="3" t="inlineStr">
        <is>
          <t>Arcane Circumvent</t>
        </is>
      </c>
      <c r="C121" s="3" t="inlineStr">
        <is>
          <t>Arcanes</t>
        </is>
      </c>
      <c r="D121" s="4" t="n">
        <v>2</v>
      </c>
      <c r="E121" s="4" t="n">
        <v>2</v>
      </c>
      <c r="F121" s="3" t="n">
        <v>12</v>
      </c>
      <c r="G121" s="3" t="n">
        <v>35</v>
      </c>
      <c r="H121" s="3" t="n">
        <v>113</v>
      </c>
      <c r="I121" s="3" t="n">
        <v>34.86</v>
      </c>
      <c r="J121" s="3" t="n">
        <v>46</v>
      </c>
      <c r="K121" s="4" t="n">
        <v>2</v>
      </c>
      <c r="L121" s="3" t="n">
        <v>0</v>
      </c>
      <c r="M121" s="5">
        <f>IF(MAX($J$2:$J$189)&lt;=0,0,LOG10(J121+1)/LOG10(MAX($J$2:$J$189)+1)*100)*$Q$2+IF(MAX($K$2:$K$189)&lt;=0,0,LOG10(K121+1)/LOG10(MAX($K$2:$K$189)+1)*100)*$Q$3+IF(MAX($F$2:$F$189)&lt;=0,0,LOG10(F121+1)/LOG10(MAX($F$2:$F$189)+1)*100)*$Q$4</f>
        <v/>
      </c>
      <c r="N121" s="6" t="n">
        <v>0.02</v>
      </c>
      <c r="O121" s="7" t="inlineStr">
        <is>
          <t>brak (surowiec końcowy / nie jest komponentem)</t>
        </is>
      </c>
      <c r="P121" s="3" t="inlineStr">
        <is>
          <t>N/A (Overframe wyłączony w config.py)</t>
        </is>
      </c>
      <c r="Q121" s="3" t="inlineStr">
        <is>
          <t>Brak opisu w WFCD - sprawdź ręcznie: https://wiki.warframe.com/w/Arcane_Circumvent</t>
        </is>
      </c>
      <c r="R121" s="3" t="inlineStr">
        <is>
          <t>2026-07-26 14:33</t>
        </is>
      </c>
    </row>
    <row r="122">
      <c r="A122" s="3" t="n">
        <v>121</v>
      </c>
      <c r="B122" s="3" t="inlineStr">
        <is>
          <t>Arcane Awakening</t>
        </is>
      </c>
      <c r="C122" s="3" t="inlineStr">
        <is>
          <t>Arcanes</t>
        </is>
      </c>
      <c r="D122" s="4" t="n">
        <v>2</v>
      </c>
      <c r="E122" s="4" t="n">
        <v>2.6</v>
      </c>
      <c r="F122" s="3" t="n">
        <v>12</v>
      </c>
      <c r="G122" s="3" t="n">
        <v>33</v>
      </c>
      <c r="H122" s="3" t="n">
        <v>64</v>
      </c>
      <c r="I122" s="3" t="n">
        <v>10.46</v>
      </c>
      <c r="J122" s="3" t="n">
        <v>21</v>
      </c>
      <c r="K122" s="4" t="n">
        <v>2.6</v>
      </c>
      <c r="L122" s="3" t="n">
        <v>0</v>
      </c>
      <c r="M122" s="5">
        <f>IF(MAX($J$2:$J$189)&lt;=0,0,LOG10(J122+1)/LOG10(MAX($J$2:$J$189)+1)*100)*$Q$2+IF(MAX($K$2:$K$189)&lt;=0,0,LOG10(K122+1)/LOG10(MAX($K$2:$K$189)+1)*100)*$Q$3+IF(MAX($F$2:$F$189)&lt;=0,0,LOG10(F122+1)/LOG10(MAX($F$2:$F$189)+1)*100)*$Q$4</f>
        <v/>
      </c>
      <c r="N122" s="6" t="n">
        <v>0.07000000000000001</v>
      </c>
      <c r="O122" s="7" t="inlineStr">
        <is>
          <t>brak (surowiec końcowy / nie jest komponentem)</t>
        </is>
      </c>
      <c r="P122" s="3" t="inlineStr">
        <is>
          <t>N/A (Overframe wyłączony w config.py)</t>
        </is>
      </c>
      <c r="Q122" s="3" t="inlineStr">
        <is>
          <t>Brak opisu w WFCD - sprawdź ręcznie: https://wiki.warframe.com/w/Arcane_Awakening</t>
        </is>
      </c>
      <c r="R122" s="3" t="inlineStr">
        <is>
          <t>2026-07-26 14:33</t>
        </is>
      </c>
    </row>
    <row r="123">
      <c r="A123" s="3" t="n">
        <v>122</v>
      </c>
      <c r="B123" s="3" t="inlineStr">
        <is>
          <t>Magus Cadence</t>
        </is>
      </c>
      <c r="C123" s="3" t="inlineStr">
        <is>
          <t>Arcanes</t>
        </is>
      </c>
      <c r="D123" s="4" t="n">
        <v>7</v>
      </c>
      <c r="E123" s="4" t="n">
        <v>16.2</v>
      </c>
      <c r="F123" s="3" t="n">
        <v>12</v>
      </c>
      <c r="G123" s="3" t="n">
        <v>22</v>
      </c>
      <c r="H123" s="3" t="n">
        <v>12</v>
      </c>
      <c r="I123" s="3" t="n">
        <v>4.05</v>
      </c>
      <c r="J123" s="3" t="n">
        <v>5</v>
      </c>
      <c r="K123" s="4" t="n">
        <v>16.2</v>
      </c>
      <c r="L123" s="3" t="n">
        <v>0</v>
      </c>
      <c r="M123" s="5">
        <f>IF(MAX($J$2:$J$189)&lt;=0,0,LOG10(J123+1)/LOG10(MAX($J$2:$J$189)+1)*100)*$Q$2+IF(MAX($K$2:$K$189)&lt;=0,0,LOG10(K123+1)/LOG10(MAX($K$2:$K$189)+1)*100)*$Q$3+IF(MAX($F$2:$F$189)&lt;=0,0,LOG10(F123+1)/LOG10(MAX($F$2:$F$189)+1)*100)*$Q$4</f>
        <v/>
      </c>
      <c r="N123" s="6" t="n">
        <v>2.31</v>
      </c>
      <c r="O123" s="7" t="inlineStr">
        <is>
          <t>brak (surowiec końcowy / nie jest komponentem)</t>
        </is>
      </c>
      <c r="P123" s="3" t="inlineStr">
        <is>
          <t>N/A (Overframe wyłączony w config.py)</t>
        </is>
      </c>
      <c r="Q123" s="3" t="inlineStr">
        <is>
          <t>Brak opisu w WFCD - sprawdź ręcznie: https://wiki.warframe.com/w/Magus_Cadence</t>
        </is>
      </c>
      <c r="R123" s="3" t="inlineStr">
        <is>
          <t>2026-07-26 14:33</t>
        </is>
      </c>
    </row>
    <row r="124">
      <c r="A124" s="3" t="n">
        <v>123</v>
      </c>
      <c r="B124" s="3" t="inlineStr">
        <is>
          <t>Akimbo Slip Shot</t>
        </is>
      </c>
      <c r="C124" s="3" t="inlineStr">
        <is>
          <t>Arcanes</t>
        </is>
      </c>
      <c r="D124" s="4" t="n">
        <v>4</v>
      </c>
      <c r="E124" s="4" t="n">
        <v>16.6</v>
      </c>
      <c r="F124" s="3" t="n">
        <v>12</v>
      </c>
      <c r="G124" s="3" t="n">
        <v>18</v>
      </c>
      <c r="H124" s="3" t="n">
        <v>26</v>
      </c>
      <c r="I124" s="3" t="n">
        <v>7.7</v>
      </c>
      <c r="J124" s="3" t="n">
        <v>10</v>
      </c>
      <c r="K124" s="4" t="n">
        <v>16.6</v>
      </c>
      <c r="L124" s="3" t="n">
        <v>0</v>
      </c>
      <c r="M124" s="5">
        <f>IF(MAX($J$2:$J$189)&lt;=0,0,LOG10(J124+1)/LOG10(MAX($J$2:$J$189)+1)*100)*$Q$2+IF(MAX($K$2:$K$189)&lt;=0,0,LOG10(K124+1)/LOG10(MAX($K$2:$K$189)+1)*100)*$Q$3+IF(MAX($F$2:$F$189)&lt;=0,0,LOG10(F124+1)/LOG10(MAX($F$2:$F$189)+1)*100)*$Q$4</f>
        <v/>
      </c>
      <c r="N124" s="6" t="n">
        <v>0.17</v>
      </c>
      <c r="O124" s="7" t="inlineStr">
        <is>
          <t>brak (surowiec końcowy / nie jest komponentem)</t>
        </is>
      </c>
      <c r="P124" s="3" t="inlineStr">
        <is>
          <t>N/A (Overframe wyłączony w config.py)</t>
        </is>
      </c>
      <c r="Q124" s="3" t="inlineStr">
        <is>
          <t>Brak opisu w WFCD - sprawdź ręcznie: https://wiki.warframe.com/w/Akimbo_Slip_Shot</t>
        </is>
      </c>
      <c r="R124" s="3" t="inlineStr">
        <is>
          <t>2026-07-26 14:33</t>
        </is>
      </c>
    </row>
    <row r="125">
      <c r="A125" s="3" t="n">
        <v>124</v>
      </c>
      <c r="B125" s="3" t="inlineStr">
        <is>
          <t>Exodia Force</t>
        </is>
      </c>
      <c r="C125" s="3" t="inlineStr">
        <is>
          <t>Arcanes</t>
        </is>
      </c>
      <c r="D125" s="4" t="n">
        <v>6</v>
      </c>
      <c r="E125" s="4" t="n">
        <v>22.6</v>
      </c>
      <c r="F125" s="3" t="n">
        <v>12</v>
      </c>
      <c r="G125" s="3" t="n">
        <v>13</v>
      </c>
      <c r="H125" s="3" t="n">
        <v>13</v>
      </c>
      <c r="I125" s="3" t="n">
        <v>3.44</v>
      </c>
      <c r="J125" s="3" t="n">
        <v>5</v>
      </c>
      <c r="K125" s="4" t="n">
        <v>22.6</v>
      </c>
      <c r="L125" s="3" t="n">
        <v>0</v>
      </c>
      <c r="M125" s="5">
        <f>IF(MAX($J$2:$J$189)&lt;=0,0,LOG10(J125+1)/LOG10(MAX($J$2:$J$189)+1)*100)*$Q$2+IF(MAX($K$2:$K$189)&lt;=0,0,LOG10(K125+1)/LOG10(MAX($K$2:$K$189)+1)*100)*$Q$3+IF(MAX($F$2:$F$189)&lt;=0,0,LOG10(F125+1)/LOG10(MAX($F$2:$F$189)+1)*100)*$Q$4</f>
        <v/>
      </c>
      <c r="N125" s="6" t="n">
        <v>3.23</v>
      </c>
      <c r="O125" s="7" t="inlineStr">
        <is>
          <t>brak (surowiec końcowy / nie jest komponentem)</t>
        </is>
      </c>
      <c r="P125" s="3" t="inlineStr">
        <is>
          <t>N/A (Overframe wyłączony w config.py)</t>
        </is>
      </c>
      <c r="Q125" s="3" t="inlineStr">
        <is>
          <t>Brak opisu w WFCD - sprawdź ręcznie: https://wiki.warframe.com/w/Exodia_Force</t>
        </is>
      </c>
      <c r="R125" s="3" t="inlineStr">
        <is>
          <t>2026-07-26 14:33</t>
        </is>
      </c>
    </row>
    <row r="126">
      <c r="A126" s="3" t="n">
        <v>125</v>
      </c>
      <c r="B126" s="3" t="inlineStr">
        <is>
          <t>Magus Replenish</t>
        </is>
      </c>
      <c r="C126" s="3" t="inlineStr">
        <is>
          <t>Arcanes</t>
        </is>
      </c>
      <c r="D126" s="4" t="n">
        <v>19</v>
      </c>
      <c r="E126" s="4" t="n">
        <v>71.40000000000001</v>
      </c>
      <c r="F126" s="3" t="n">
        <v>12</v>
      </c>
      <c r="G126" s="3" t="n">
        <v>13</v>
      </c>
      <c r="H126" s="3" t="n">
        <v>12</v>
      </c>
      <c r="I126" s="3" t="n">
        <v>3.05</v>
      </c>
      <c r="J126" s="3" t="n">
        <v>5</v>
      </c>
      <c r="K126" s="4" t="n">
        <v>71.40000000000001</v>
      </c>
      <c r="L126" s="3" t="n">
        <v>0</v>
      </c>
      <c r="M126" s="5">
        <f>IF(MAX($J$2:$J$189)&lt;=0,0,LOG10(J126+1)/LOG10(MAX($J$2:$J$189)+1)*100)*$Q$2+IF(MAX($K$2:$K$189)&lt;=0,0,LOG10(K126+1)/LOG10(MAX($K$2:$K$189)+1)*100)*$Q$3+IF(MAX($F$2:$F$189)&lt;=0,0,LOG10(F126+1)/LOG10(MAX($F$2:$F$189)+1)*100)*$Q$4</f>
        <v/>
      </c>
      <c r="N126" s="6" t="n">
        <v>10.2</v>
      </c>
      <c r="O126" s="7" t="inlineStr">
        <is>
          <t>brak (surowiec końcowy / nie jest komponentem)</t>
        </is>
      </c>
      <c r="P126" s="3" t="inlineStr">
        <is>
          <t>N/A (Overframe wyłączony w config.py)</t>
        </is>
      </c>
      <c r="Q126" s="3" t="inlineStr">
        <is>
          <t>Brak opisu w WFCD - sprawdź ręcznie: https://wiki.warframe.com/w/Magus_Replenish</t>
        </is>
      </c>
      <c r="R126" s="3" t="inlineStr">
        <is>
          <t>2026-07-26 14:33</t>
        </is>
      </c>
    </row>
    <row r="127">
      <c r="A127" s="3" t="n">
        <v>126</v>
      </c>
      <c r="B127" s="3" t="inlineStr">
        <is>
          <t>Exodia Brave</t>
        </is>
      </c>
      <c r="C127" s="3" t="inlineStr">
        <is>
          <t>Arcanes</t>
        </is>
      </c>
      <c r="D127" s="4" t="n">
        <v>10</v>
      </c>
      <c r="E127" s="4" t="n">
        <v>37.6</v>
      </c>
      <c r="F127" s="3" t="n">
        <v>12</v>
      </c>
      <c r="G127" s="3" t="n">
        <v>12</v>
      </c>
      <c r="H127" s="3" t="n">
        <v>0</v>
      </c>
      <c r="I127" s="3" t="n">
        <v>2.26</v>
      </c>
      <c r="J127" s="3" t="n">
        <v>2</v>
      </c>
      <c r="K127" s="4" t="n">
        <v>37.6</v>
      </c>
      <c r="L127" s="3" t="n">
        <v>0</v>
      </c>
      <c r="M127" s="5">
        <f>IF(MAX($J$2:$J$189)&lt;=0,0,LOG10(J127+1)/LOG10(MAX($J$2:$J$189)+1)*100)*$Q$2+IF(MAX($K$2:$K$189)&lt;=0,0,LOG10(K127+1)/LOG10(MAX($K$2:$K$189)+1)*100)*$Q$3+IF(MAX($F$2:$F$189)&lt;=0,0,LOG10(F127+1)/LOG10(MAX($F$2:$F$189)+1)*100)*$Q$4</f>
        <v/>
      </c>
      <c r="N127" s="6" t="n">
        <v>5.37</v>
      </c>
      <c r="O127" s="7" t="inlineStr">
        <is>
          <t>brak (surowiec końcowy / nie jest komponentem)</t>
        </is>
      </c>
      <c r="P127" s="3" t="inlineStr">
        <is>
          <t>N/A (Overframe wyłączony w config.py)</t>
        </is>
      </c>
      <c r="Q127" s="3" t="inlineStr">
        <is>
          <t>Brak opisu w WFCD - sprawdź ręcznie: https://wiki.warframe.com/w/Exodia_Brave</t>
        </is>
      </c>
      <c r="R127" s="3" t="inlineStr">
        <is>
          <t>2026-07-26 14:33</t>
        </is>
      </c>
    </row>
    <row r="128">
      <c r="A128" s="3" t="n">
        <v>127</v>
      </c>
      <c r="B128" s="3" t="inlineStr">
        <is>
          <t>Arcane Hemlock Helmet</t>
        </is>
      </c>
      <c r="C128" s="3" t="inlineStr">
        <is>
          <t>Skins</t>
        </is>
      </c>
      <c r="D128" s="4" t="n">
        <v>200</v>
      </c>
      <c r="E128" s="4" t="n">
        <v>530</v>
      </c>
      <c r="F128" s="3" t="n">
        <v>12</v>
      </c>
      <c r="G128" s="3" t="n">
        <v>5</v>
      </c>
      <c r="H128" s="3" t="n">
        <v>1</v>
      </c>
      <c r="I128" s="3" t="n">
        <v>1.47</v>
      </c>
      <c r="J128" s="3" t="n">
        <v>1</v>
      </c>
      <c r="K128" s="4" t="n">
        <v>530</v>
      </c>
      <c r="L128" s="3" t="n">
        <v>0</v>
      </c>
      <c r="M128" s="5">
        <f>IF(MAX($J$2:$J$189)&lt;=0,0,LOG10(J128+1)/LOG10(MAX($J$2:$J$189)+1)*100)*$Q$2+IF(MAX($K$2:$K$189)&lt;=0,0,LOG10(K128+1)/LOG10(MAX($K$2:$K$189)+1)*100)*$Q$3+IF(MAX($F$2:$F$189)&lt;=0,0,LOG10(F128+1)/LOG10(MAX($F$2:$F$189)+1)*100)*$Q$4</f>
        <v/>
      </c>
      <c r="N128" s="6" t="n"/>
      <c r="O128" s="7" t="inlineStr">
        <is>
          <t>brak (surowiec końcowy / nie jest komponentem)</t>
        </is>
      </c>
      <c r="P128" s="3" t="inlineStr">
        <is>
          <t>N/A (Overframe wyłączony w config.py)</t>
        </is>
      </c>
      <c r="Q128" s="3" t="inlineStr">
        <is>
          <t>This helmet is worn by Saryn, and increases Movement Speed, with a reduction to Health.</t>
        </is>
      </c>
      <c r="R128" s="3" t="inlineStr">
        <is>
          <t>2026-07-26 14:33</t>
        </is>
      </c>
    </row>
    <row r="129">
      <c r="A129" s="3" t="n">
        <v>128</v>
      </c>
      <c r="B129" s="3" t="inlineStr">
        <is>
          <t>Arcane Gambit Helmet</t>
        </is>
      </c>
      <c r="C129" s="3" t="inlineStr">
        <is>
          <t>Skins</t>
        </is>
      </c>
      <c r="D129" s="4" t="n">
        <v>250</v>
      </c>
      <c r="E129" s="4" t="n">
        <v>583.3</v>
      </c>
      <c r="F129" s="3" t="n">
        <v>12</v>
      </c>
      <c r="G129" s="3" t="n">
        <v>3</v>
      </c>
      <c r="H129" s="3" t="n">
        <v>0</v>
      </c>
      <c r="I129" s="3" t="n">
        <v>1.31</v>
      </c>
      <c r="J129" s="3" t="n">
        <v>1</v>
      </c>
      <c r="K129" s="4" t="n">
        <v>583.3</v>
      </c>
      <c r="L129" s="3" t="n">
        <v>0</v>
      </c>
      <c r="M129" s="5">
        <f>IF(MAX($J$2:$J$189)&lt;=0,0,LOG10(J129+1)/LOG10(MAX($J$2:$J$189)+1)*100)*$Q$2+IF(MAX($K$2:$K$189)&lt;=0,0,LOG10(K129+1)/LOG10(MAX($K$2:$K$189)+1)*100)*$Q$3+IF(MAX($F$2:$F$189)&lt;=0,0,LOG10(F129+1)/LOG10(MAX($F$2:$F$189)+1)*100)*$Q$4</f>
        <v/>
      </c>
      <c r="N129" s="6" t="n"/>
      <c r="O129" s="7" t="inlineStr">
        <is>
          <t>brak (surowiec końcowy / nie jest komponentem)</t>
        </is>
      </c>
      <c r="P129" s="3" t="inlineStr">
        <is>
          <t>N/A (Overframe wyłączony w config.py)</t>
        </is>
      </c>
      <c r="Q129" s="3" t="inlineStr">
        <is>
          <t>This helmet is worn by Vauban, and increases velocity of parkour maneuvers, but reduces Ability Duration.</t>
        </is>
      </c>
      <c r="R129" s="3" t="inlineStr">
        <is>
          <t>2026-07-26 14:33</t>
        </is>
      </c>
    </row>
    <row r="130">
      <c r="A130" s="3" t="n">
        <v>129</v>
      </c>
      <c r="B130" s="3" t="inlineStr">
        <is>
          <t>Arcane Aurora Helmet</t>
        </is>
      </c>
      <c r="C130" s="3" t="inlineStr">
        <is>
          <t>Skins</t>
        </is>
      </c>
      <c r="D130" s="4" t="n">
        <v>300</v>
      </c>
      <c r="E130" s="4" t="n">
        <v>416.7</v>
      </c>
      <c r="F130" s="3" t="n">
        <v>12</v>
      </c>
      <c r="G130" s="3" t="n">
        <v>3</v>
      </c>
      <c r="H130" s="3" t="n">
        <v>1</v>
      </c>
      <c r="I130" s="3" t="n">
        <v>1.42</v>
      </c>
      <c r="J130" s="3" t="n">
        <v>1</v>
      </c>
      <c r="K130" s="4" t="n">
        <v>416.7</v>
      </c>
      <c r="L130" s="3" t="n">
        <v>0</v>
      </c>
      <c r="M130" s="5">
        <f>IF(MAX($J$2:$J$189)&lt;=0,0,LOG10(J130+1)/LOG10(MAX($J$2:$J$189)+1)*100)*$Q$2+IF(MAX($K$2:$K$189)&lt;=0,0,LOG10(K130+1)/LOG10(MAX($K$2:$K$189)+1)*100)*$Q$3+IF(MAX($F$2:$F$189)&lt;=0,0,LOG10(F130+1)/LOG10(MAX($F$2:$F$189)+1)*100)*$Q$4</f>
        <v/>
      </c>
      <c r="N130" s="6" t="n"/>
      <c r="O130" s="7" t="inlineStr">
        <is>
          <t>brak (surowiec końcowy / nie jest komponentem)</t>
        </is>
      </c>
      <c r="P130" s="3" t="inlineStr">
        <is>
          <t>N/A (Overframe wyłączony w config.py)</t>
        </is>
      </c>
      <c r="Q130" s="3" t="inlineStr">
        <is>
          <t>This helmet is worn by Frost, increases Armor at the expense of Health.</t>
        </is>
      </c>
      <c r="R130" s="3" t="inlineStr">
        <is>
          <t>2026-07-26 14:33</t>
        </is>
      </c>
    </row>
    <row r="131">
      <c r="A131" s="3" t="n">
        <v>130</v>
      </c>
      <c r="B131" s="3" t="inlineStr">
        <is>
          <t>Magus Husk</t>
        </is>
      </c>
      <c r="C131" s="3" t="inlineStr">
        <is>
          <t>Arcanes</t>
        </is>
      </c>
      <c r="D131" s="4" t="n">
        <v>17</v>
      </c>
      <c r="E131" s="4" t="n">
        <v>36.4</v>
      </c>
      <c r="F131" s="3" t="n">
        <v>11</v>
      </c>
      <c r="G131" s="3" t="n">
        <v>12</v>
      </c>
      <c r="H131" s="3" t="n">
        <v>12</v>
      </c>
      <c r="I131" s="3" t="n">
        <v>2.26</v>
      </c>
      <c r="J131" s="3" t="n">
        <v>4</v>
      </c>
      <c r="K131" s="4" t="n">
        <v>36.4</v>
      </c>
      <c r="L131" s="3" t="n">
        <v>0</v>
      </c>
      <c r="M131" s="5">
        <f>IF(MAX($J$2:$J$189)&lt;=0,0,LOG10(J131+1)/LOG10(MAX($J$2:$J$189)+1)*100)*$Q$2+IF(MAX($K$2:$K$189)&lt;=0,0,LOG10(K131+1)/LOG10(MAX($K$2:$K$189)+1)*100)*$Q$3+IF(MAX($F$2:$F$189)&lt;=0,0,LOG10(F131+1)/LOG10(MAX($F$2:$F$189)+1)*100)*$Q$4</f>
        <v/>
      </c>
      <c r="N131" s="6" t="n">
        <v>5.2</v>
      </c>
      <c r="O131" s="7" t="inlineStr">
        <is>
          <t>brak (surowiec końcowy / nie jest komponentem)</t>
        </is>
      </c>
      <c r="P131" s="3" t="inlineStr">
        <is>
          <t>N/A (Overframe wyłączony w config.py)</t>
        </is>
      </c>
      <c r="Q131" s="3" t="inlineStr">
        <is>
          <t>Brak opisu w WFCD - sprawdź ręcznie: https://wiki.warframe.com/w/Magus_Husk</t>
        </is>
      </c>
      <c r="R131" s="3" t="inlineStr">
        <is>
          <t>2026-07-26 14:33</t>
        </is>
      </c>
    </row>
    <row r="132">
      <c r="A132" s="3" t="n">
        <v>131</v>
      </c>
      <c r="B132" s="3" t="inlineStr">
        <is>
          <t>Residual Viremia</t>
        </is>
      </c>
      <c r="C132" s="3" t="inlineStr">
        <is>
          <t>Arcanes</t>
        </is>
      </c>
      <c r="D132" s="4" t="n">
        <v>4</v>
      </c>
      <c r="E132" s="4" t="n">
        <v>9.6</v>
      </c>
      <c r="F132" s="3" t="n">
        <v>11</v>
      </c>
      <c r="G132" s="3" t="n">
        <v>12</v>
      </c>
      <c r="H132" s="3" t="n">
        <v>3</v>
      </c>
      <c r="I132" s="3" t="n">
        <v>4.08</v>
      </c>
      <c r="J132" s="3" t="n">
        <v>3</v>
      </c>
      <c r="K132" s="4" t="n">
        <v>9.6</v>
      </c>
      <c r="L132" s="3" t="n">
        <v>0</v>
      </c>
      <c r="M132" s="5">
        <f>IF(MAX($J$2:$J$189)&lt;=0,0,LOG10(J132+1)/LOG10(MAX($J$2:$J$189)+1)*100)*$Q$2+IF(MAX($K$2:$K$189)&lt;=0,0,LOG10(K132+1)/LOG10(MAX($K$2:$K$189)+1)*100)*$Q$3+IF(MAX($F$2:$F$189)&lt;=0,0,LOG10(F132+1)/LOG10(MAX($F$2:$F$189)+1)*100)*$Q$4</f>
        <v/>
      </c>
      <c r="N132" s="6" t="n">
        <v>0.29</v>
      </c>
      <c r="O132" s="7" t="inlineStr">
        <is>
          <t>brak (surowiec końcowy / nie jest komponentem)</t>
        </is>
      </c>
      <c r="P132" s="3" t="inlineStr">
        <is>
          <t>N/A (Overframe wyłączony w config.py)</t>
        </is>
      </c>
      <c r="Q132" s="3" t="inlineStr">
        <is>
          <t>Brak opisu w WFCD - sprawdź ręcznie: https://wiki.warframe.com/w/Residual_Viremia</t>
        </is>
      </c>
      <c r="R132" s="3" t="inlineStr">
        <is>
          <t>2026-07-26 14:33</t>
        </is>
      </c>
    </row>
    <row r="133">
      <c r="A133" s="3" t="n">
        <v>132</v>
      </c>
      <c r="B133" s="3" t="inlineStr">
        <is>
          <t>Arcane Ultimatum</t>
        </is>
      </c>
      <c r="C133" s="3" t="inlineStr">
        <is>
          <t>Arcanes</t>
        </is>
      </c>
      <c r="D133" s="4" t="n">
        <v>3</v>
      </c>
      <c r="E133" s="4" t="n">
        <v>9</v>
      </c>
      <c r="F133" s="3" t="n">
        <v>10</v>
      </c>
      <c r="G133" s="3" t="n">
        <v>32</v>
      </c>
      <c r="H133" s="3" t="n">
        <v>4</v>
      </c>
      <c r="I133" s="3" t="n">
        <v>6.09</v>
      </c>
      <c r="J133" s="3" t="n">
        <v>4</v>
      </c>
      <c r="K133" s="4" t="n">
        <v>9</v>
      </c>
      <c r="L133" s="3" t="n">
        <v>0</v>
      </c>
      <c r="M133" s="5">
        <f>IF(MAX($J$2:$J$189)&lt;=0,0,LOG10(J133+1)/LOG10(MAX($J$2:$J$189)+1)*100)*$Q$2+IF(MAX($K$2:$K$189)&lt;=0,0,LOG10(K133+1)/LOG10(MAX($K$2:$K$189)+1)*100)*$Q$3+IF(MAX($F$2:$F$189)&lt;=0,0,LOG10(F133+1)/LOG10(MAX($F$2:$F$189)+1)*100)*$Q$4</f>
        <v/>
      </c>
      <c r="N133" s="6" t="n">
        <v>0.09</v>
      </c>
      <c r="O133" s="7" t="inlineStr">
        <is>
          <t>brak (surowiec końcowy / nie jest komponentem)</t>
        </is>
      </c>
      <c r="P133" s="3" t="inlineStr">
        <is>
          <t>N/A (Overframe wyłączony w config.py)</t>
        </is>
      </c>
      <c r="Q133" s="3" t="inlineStr">
        <is>
          <t>Brak opisu w WFCD - sprawdź ręcznie: https://wiki.warframe.com/w/Arcane_Ultimatum</t>
        </is>
      </c>
      <c r="R133" s="3" t="inlineStr">
        <is>
          <t>2026-07-26 14:33</t>
        </is>
      </c>
    </row>
    <row r="134">
      <c r="A134" s="3" t="n">
        <v>133</v>
      </c>
      <c r="B134" s="3" t="inlineStr">
        <is>
          <t>Arcane Pulse</t>
        </is>
      </c>
      <c r="C134" s="3" t="inlineStr">
        <is>
          <t>Arcanes</t>
        </is>
      </c>
      <c r="D134" s="4" t="n">
        <v>3</v>
      </c>
      <c r="E134" s="4" t="n">
        <v>12.4</v>
      </c>
      <c r="F134" s="3" t="n">
        <v>10</v>
      </c>
      <c r="G134" s="3" t="n">
        <v>31</v>
      </c>
      <c r="H134" s="3" t="n">
        <v>11</v>
      </c>
      <c r="I134" s="3" t="n">
        <v>4.13</v>
      </c>
      <c r="J134" s="3" t="n">
        <v>5</v>
      </c>
      <c r="K134" s="4" t="n">
        <v>12.4</v>
      </c>
      <c r="L134" s="3" t="n">
        <v>0</v>
      </c>
      <c r="M134" s="5">
        <f>IF(MAX($J$2:$J$189)&lt;=0,0,LOG10(J134+1)/LOG10(MAX($J$2:$J$189)+1)*100)*$Q$2+IF(MAX($K$2:$K$189)&lt;=0,0,LOG10(K134+1)/LOG10(MAX($K$2:$K$189)+1)*100)*$Q$3+IF(MAX($F$2:$F$189)&lt;=0,0,LOG10(F134+1)/LOG10(MAX($F$2:$F$189)+1)*100)*$Q$4</f>
        <v/>
      </c>
      <c r="N134" s="6" t="n">
        <v>0.13</v>
      </c>
      <c r="O134" s="7" t="inlineStr">
        <is>
          <t>brak (surowiec końcowy / nie jest komponentem)</t>
        </is>
      </c>
      <c r="P134" s="3" t="inlineStr">
        <is>
          <t>N/A (Overframe wyłączony w config.py)</t>
        </is>
      </c>
      <c r="Q134" s="3" t="inlineStr">
        <is>
          <t>Brak opisu w WFCD - sprawdź ręcznie: https://wiki.warframe.com/w/Arcane_Pulse</t>
        </is>
      </c>
      <c r="R134" s="3" t="inlineStr">
        <is>
          <t>2026-07-26 14:33</t>
        </is>
      </c>
    </row>
    <row r="135">
      <c r="A135" s="3" t="n">
        <v>134</v>
      </c>
      <c r="B135" s="3" t="inlineStr">
        <is>
          <t>Arcane Rise</t>
        </is>
      </c>
      <c r="C135" s="3" t="inlineStr">
        <is>
          <t>Arcanes</t>
        </is>
      </c>
      <c r="D135" s="4" t="n">
        <v>2</v>
      </c>
      <c r="E135" s="4" t="n">
        <v>3</v>
      </c>
      <c r="F135" s="3" t="n">
        <v>10</v>
      </c>
      <c r="G135" s="3" t="n">
        <v>26</v>
      </c>
      <c r="H135" s="3" t="n">
        <v>62</v>
      </c>
      <c r="I135" s="3" t="n">
        <v>14.59</v>
      </c>
      <c r="J135" s="3" t="n">
        <v>23</v>
      </c>
      <c r="K135" s="4" t="n">
        <v>3</v>
      </c>
      <c r="L135" s="3" t="n">
        <v>0</v>
      </c>
      <c r="M135" s="5">
        <f>IF(MAX($J$2:$J$189)&lt;=0,0,LOG10(J135+1)/LOG10(MAX($J$2:$J$189)+1)*100)*$Q$2+IF(MAX($K$2:$K$189)&lt;=0,0,LOG10(K135+1)/LOG10(MAX($K$2:$K$189)+1)*100)*$Q$3+IF(MAX($F$2:$F$189)&lt;=0,0,LOG10(F135+1)/LOG10(MAX($F$2:$F$189)+1)*100)*$Q$4</f>
        <v/>
      </c>
      <c r="N135" s="6" t="n">
        <v>0.04</v>
      </c>
      <c r="O135" s="7" t="inlineStr">
        <is>
          <t>brak (surowiec końcowy / nie jest komponentem)</t>
        </is>
      </c>
      <c r="P135" s="3" t="inlineStr">
        <is>
          <t>N/A (Overframe wyłączony w config.py)</t>
        </is>
      </c>
      <c r="Q135" s="3" t="inlineStr">
        <is>
          <t>Brak opisu w WFCD - sprawdź ręcznie: https://wiki.warframe.com/w/Arcane_Rise</t>
        </is>
      </c>
      <c r="R135" s="3" t="inlineStr">
        <is>
          <t>2026-07-26 14:33</t>
        </is>
      </c>
    </row>
    <row r="136">
      <c r="A136" s="3" t="n">
        <v>135</v>
      </c>
      <c r="B136" s="3" t="inlineStr">
        <is>
          <t>Residual Shock</t>
        </is>
      </c>
      <c r="C136" s="3" t="inlineStr">
        <is>
          <t>Arcanes</t>
        </is>
      </c>
      <c r="D136" s="4" t="n">
        <v>4</v>
      </c>
      <c r="E136" s="4" t="n">
        <v>4.8</v>
      </c>
      <c r="F136" s="3" t="n">
        <v>10</v>
      </c>
      <c r="G136" s="3" t="n">
        <v>15</v>
      </c>
      <c r="H136" s="3" t="n">
        <v>11</v>
      </c>
      <c r="I136" s="3" t="n">
        <v>3.65</v>
      </c>
      <c r="J136" s="3" t="n">
        <v>5</v>
      </c>
      <c r="K136" s="4" t="n">
        <v>4.8</v>
      </c>
      <c r="L136" s="3" t="n">
        <v>0</v>
      </c>
      <c r="M136" s="5">
        <f>IF(MAX($J$2:$J$189)&lt;=0,0,LOG10(J136+1)/LOG10(MAX($J$2:$J$189)+1)*100)*$Q$2+IF(MAX($K$2:$K$189)&lt;=0,0,LOG10(K136+1)/LOG10(MAX($K$2:$K$189)+1)*100)*$Q$3+IF(MAX($F$2:$F$189)&lt;=0,0,LOG10(F136+1)/LOG10(MAX($F$2:$F$189)+1)*100)*$Q$4</f>
        <v/>
      </c>
      <c r="N136" s="6" t="n">
        <v>0.14</v>
      </c>
      <c r="O136" s="7" t="inlineStr">
        <is>
          <t>brak (surowiec końcowy / nie jest komponentem)</t>
        </is>
      </c>
      <c r="P136" s="3" t="inlineStr">
        <is>
          <t>N/A (Overframe wyłączony w config.py)</t>
        </is>
      </c>
      <c r="Q136" s="3" t="inlineStr">
        <is>
          <t>Brak opisu w WFCD - sprawdź ręcznie: https://wiki.warframe.com/w/Residual_Shock</t>
        </is>
      </c>
      <c r="R136" s="3" t="inlineStr">
        <is>
          <t>2026-07-26 14:33</t>
        </is>
      </c>
    </row>
    <row r="137">
      <c r="A137" s="3" t="n">
        <v>136</v>
      </c>
      <c r="B137" s="3" t="inlineStr">
        <is>
          <t>Exodia Triumph</t>
        </is>
      </c>
      <c r="C137" s="3" t="inlineStr">
        <is>
          <t>Arcanes</t>
        </is>
      </c>
      <c r="D137" s="4" t="n">
        <v>10</v>
      </c>
      <c r="E137" s="4" t="n">
        <v>62</v>
      </c>
      <c r="F137" s="3" t="n">
        <v>10</v>
      </c>
      <c r="G137" s="3" t="n">
        <v>10</v>
      </c>
      <c r="H137" s="3" t="n">
        <v>1</v>
      </c>
      <c r="I137" s="3" t="n">
        <v>1.88</v>
      </c>
      <c r="J137" s="3" t="n">
        <v>1</v>
      </c>
      <c r="K137" s="4" t="n">
        <v>62</v>
      </c>
      <c r="L137" s="3" t="n">
        <v>0</v>
      </c>
      <c r="M137" s="5">
        <f>IF(MAX($J$2:$J$189)&lt;=0,0,LOG10(J137+1)/LOG10(MAX($J$2:$J$189)+1)*100)*$Q$2+IF(MAX($K$2:$K$189)&lt;=0,0,LOG10(K137+1)/LOG10(MAX($K$2:$K$189)+1)*100)*$Q$3+IF(MAX($F$2:$F$189)&lt;=0,0,LOG10(F137+1)/LOG10(MAX($F$2:$F$189)+1)*100)*$Q$4</f>
        <v/>
      </c>
      <c r="N137" s="6" t="n">
        <v>8.859999999999999</v>
      </c>
      <c r="O137" s="7" t="inlineStr">
        <is>
          <t>brak (surowiec końcowy / nie jest komponentem)</t>
        </is>
      </c>
      <c r="P137" s="3" t="inlineStr">
        <is>
          <t>N/A (Overframe wyłączony w config.py)</t>
        </is>
      </c>
      <c r="Q137" s="3" t="inlineStr">
        <is>
          <t>Brak opisu w WFCD - sprawdź ręcznie: https://wiki.warframe.com/w/Exodia_Triumph</t>
        </is>
      </c>
      <c r="R137" s="3" t="inlineStr">
        <is>
          <t>2026-07-26 14:33</t>
        </is>
      </c>
    </row>
    <row r="138">
      <c r="A138" s="3" t="n">
        <v>137</v>
      </c>
      <c r="B138" s="3" t="inlineStr">
        <is>
          <t>Exodia Valor</t>
        </is>
      </c>
      <c r="C138" s="3" t="inlineStr">
        <is>
          <t>Arcanes</t>
        </is>
      </c>
      <c r="D138" s="4" t="n">
        <v>75</v>
      </c>
      <c r="E138" s="4" t="n">
        <v>114.8</v>
      </c>
      <c r="F138" s="3" t="n">
        <v>10</v>
      </c>
      <c r="G138" s="3" t="n">
        <v>8</v>
      </c>
      <c r="H138" s="3" t="n">
        <v>1</v>
      </c>
      <c r="I138" s="3" t="n">
        <v>1.65</v>
      </c>
      <c r="J138" s="3" t="n">
        <v>1</v>
      </c>
      <c r="K138" s="4" t="n">
        <v>114.8</v>
      </c>
      <c r="L138" s="3" t="n">
        <v>0</v>
      </c>
      <c r="M138" s="5">
        <f>IF(MAX($J$2:$J$189)&lt;=0,0,LOG10(J138+1)/LOG10(MAX($J$2:$J$189)+1)*100)*$Q$2+IF(MAX($K$2:$K$189)&lt;=0,0,LOG10(K138+1)/LOG10(MAX($K$2:$K$189)+1)*100)*$Q$3+IF(MAX($F$2:$F$189)&lt;=0,0,LOG10(F138+1)/LOG10(MAX($F$2:$F$189)+1)*100)*$Q$4</f>
        <v/>
      </c>
      <c r="N138" s="6" t="n">
        <v>16.4</v>
      </c>
      <c r="O138" s="7" t="inlineStr">
        <is>
          <t>brak (surowiec końcowy / nie jest komponentem)</t>
        </is>
      </c>
      <c r="P138" s="3" t="inlineStr">
        <is>
          <t>N/A (Overframe wyłączony w config.py)</t>
        </is>
      </c>
      <c r="Q138" s="3" t="inlineStr">
        <is>
          <t>Brak opisu w WFCD - sprawdź ręcznie: https://wiki.warframe.com/w/Exodia_Valor</t>
        </is>
      </c>
      <c r="R138" s="3" t="inlineStr">
        <is>
          <t>2026-07-26 14:33</t>
        </is>
      </c>
    </row>
    <row r="139">
      <c r="A139" s="3" t="n">
        <v>138</v>
      </c>
      <c r="B139" s="3" t="inlineStr">
        <is>
          <t>Exodia Might</t>
        </is>
      </c>
      <c r="C139" s="3" t="inlineStr">
        <is>
          <t>Arcanes</t>
        </is>
      </c>
      <c r="D139" s="4" t="n">
        <v>10</v>
      </c>
      <c r="E139" s="4" t="n">
        <v>106.6</v>
      </c>
      <c r="F139" s="3" t="n">
        <v>10</v>
      </c>
      <c r="G139" s="3" t="n">
        <v>8</v>
      </c>
      <c r="H139" s="3" t="n">
        <v>1</v>
      </c>
      <c r="I139" s="3" t="n">
        <v>1.85</v>
      </c>
      <c r="J139" s="3" t="n">
        <v>1</v>
      </c>
      <c r="K139" s="4" t="n">
        <v>106.6</v>
      </c>
      <c r="L139" s="3" t="n">
        <v>0</v>
      </c>
      <c r="M139" s="5">
        <f>IF(MAX($J$2:$J$189)&lt;=0,0,LOG10(J139+1)/LOG10(MAX($J$2:$J$189)+1)*100)*$Q$2+IF(MAX($K$2:$K$189)&lt;=0,0,LOG10(K139+1)/LOG10(MAX($K$2:$K$189)+1)*100)*$Q$3+IF(MAX($F$2:$F$189)&lt;=0,0,LOG10(F139+1)/LOG10(MAX($F$2:$F$189)+1)*100)*$Q$4</f>
        <v/>
      </c>
      <c r="N139" s="6" t="n">
        <v>15.23</v>
      </c>
      <c r="O139" s="7" t="inlineStr">
        <is>
          <t>brak (surowiec końcowy / nie jest komponentem)</t>
        </is>
      </c>
      <c r="P139" s="3" t="inlineStr">
        <is>
          <t>N/A (Overframe wyłączony w config.py)</t>
        </is>
      </c>
      <c r="Q139" s="3" t="inlineStr">
        <is>
          <t>Brak opisu w WFCD - sprawdź ręcznie: https://wiki.warframe.com/w/Exodia_Might</t>
        </is>
      </c>
      <c r="R139" s="3" t="inlineStr">
        <is>
          <t>2026-07-26 14:33</t>
        </is>
      </c>
    </row>
    <row r="140">
      <c r="A140" s="3" t="n">
        <v>139</v>
      </c>
      <c r="B140" s="3" t="inlineStr">
        <is>
          <t>Arcane Reverb Helmet</t>
        </is>
      </c>
      <c r="C140" s="3" t="inlineStr">
        <is>
          <t>Skins</t>
        </is>
      </c>
      <c r="D140" s="4" t="n">
        <v>170</v>
      </c>
      <c r="E140" s="4" t="n">
        <v>338</v>
      </c>
      <c r="F140" s="3" t="n">
        <v>10</v>
      </c>
      <c r="G140" s="3" t="n">
        <v>5</v>
      </c>
      <c r="H140" s="3" t="n">
        <v>0</v>
      </c>
      <c r="I140" s="3" t="n">
        <v>1.28</v>
      </c>
      <c r="J140" s="3" t="n">
        <v>1</v>
      </c>
      <c r="K140" s="4" t="n">
        <v>338</v>
      </c>
      <c r="L140" s="3" t="n">
        <v>0</v>
      </c>
      <c r="M140" s="5">
        <f>IF(MAX($J$2:$J$189)&lt;=0,0,LOG10(J140+1)/LOG10(MAX($J$2:$J$189)+1)*100)*$Q$2+IF(MAX($K$2:$K$189)&lt;=0,0,LOG10(K140+1)/LOG10(MAX($K$2:$K$189)+1)*100)*$Q$3+IF(MAX($F$2:$F$189)&lt;=0,0,LOG10(F140+1)/LOG10(MAX($F$2:$F$189)+1)*100)*$Q$4</f>
        <v/>
      </c>
      <c r="N140" s="6" t="n"/>
      <c r="O140" s="7" t="inlineStr">
        <is>
          <t>brak (surowiec końcowy / nie jest komponentem)</t>
        </is>
      </c>
      <c r="P140" s="3" t="inlineStr">
        <is>
          <t>N/A (Overframe wyłączony w config.py)</t>
        </is>
      </c>
      <c r="Q140" s="3" t="inlineStr">
        <is>
          <t>This helmet is worn by Banshee, and grants Max Energy Boost, with a reduction to Health.</t>
        </is>
      </c>
      <c r="R140" s="3" t="inlineStr">
        <is>
          <t>2026-07-26 14:33</t>
        </is>
      </c>
    </row>
    <row r="141">
      <c r="A141" s="3" t="n">
        <v>140</v>
      </c>
      <c r="B141" s="3" t="inlineStr">
        <is>
          <t>Arcane Primary Charger</t>
        </is>
      </c>
      <c r="C141" s="3" t="inlineStr">
        <is>
          <t>Arcanes</t>
        </is>
      </c>
      <c r="D141" s="4" t="n">
        <v>2</v>
      </c>
      <c r="E141" s="4" t="n">
        <v>15.6</v>
      </c>
      <c r="F141" s="3" t="n">
        <v>9</v>
      </c>
      <c r="G141" s="3" t="n">
        <v>25</v>
      </c>
      <c r="H141" s="3" t="n">
        <v>8</v>
      </c>
      <c r="I141" s="3" t="n">
        <v>5.64</v>
      </c>
      <c r="J141" s="3" t="n">
        <v>5</v>
      </c>
      <c r="K141" s="4" t="n">
        <v>15.6</v>
      </c>
      <c r="L141" s="3" t="n">
        <v>0</v>
      </c>
      <c r="M141" s="5">
        <f>IF(MAX($J$2:$J$189)&lt;=0,0,LOG10(J141+1)/LOG10(MAX($J$2:$J$189)+1)*100)*$Q$2+IF(MAX($K$2:$K$189)&lt;=0,0,LOG10(K141+1)/LOG10(MAX($K$2:$K$189)+1)*100)*$Q$3+IF(MAX($F$2:$F$189)&lt;=0,0,LOG10(F141+1)/LOG10(MAX($F$2:$F$189)+1)*100)*$Q$4</f>
        <v/>
      </c>
      <c r="N141" s="6" t="n">
        <v>0.11</v>
      </c>
      <c r="O141" s="7" t="inlineStr">
        <is>
          <t>brak (surowiec końcowy / nie jest komponentem)</t>
        </is>
      </c>
      <c r="P141" s="3" t="inlineStr">
        <is>
          <t>N/A (Overframe wyłączony w config.py)</t>
        </is>
      </c>
      <c r="Q141" s="3" t="inlineStr">
        <is>
          <t>Brak opisu w WFCD - sprawdź ręcznie: https://wiki.warframe.com/w/Arcane_Primary_Charger</t>
        </is>
      </c>
      <c r="R141" s="3" t="inlineStr">
        <is>
          <t>2026-07-26 14:33</t>
        </is>
      </c>
    </row>
    <row r="142">
      <c r="A142" s="3" t="n">
        <v>141</v>
      </c>
      <c r="B142" s="3" t="inlineStr">
        <is>
          <t>Arcane Blade Charger</t>
        </is>
      </c>
      <c r="C142" s="3" t="inlineStr">
        <is>
          <t>Arcanes</t>
        </is>
      </c>
      <c r="D142" s="4" t="n">
        <v>3</v>
      </c>
      <c r="E142" s="4" t="n">
        <v>3.2</v>
      </c>
      <c r="F142" s="3" t="n">
        <v>9</v>
      </c>
      <c r="G142" s="3" t="n">
        <v>23</v>
      </c>
      <c r="H142" s="3" t="n">
        <v>5</v>
      </c>
      <c r="I142" s="3" t="n">
        <v>7.68</v>
      </c>
      <c r="J142" s="3" t="n">
        <v>5</v>
      </c>
      <c r="K142" s="4" t="n">
        <v>3.2</v>
      </c>
      <c r="L142" s="3" t="n">
        <v>0</v>
      </c>
      <c r="M142" s="5">
        <f>IF(MAX($J$2:$J$189)&lt;=0,0,LOG10(J142+1)/LOG10(MAX($J$2:$J$189)+1)*100)*$Q$2+IF(MAX($K$2:$K$189)&lt;=0,0,LOG10(K142+1)/LOG10(MAX($K$2:$K$189)+1)*100)*$Q$3+IF(MAX($F$2:$F$189)&lt;=0,0,LOG10(F142+1)/LOG10(MAX($F$2:$F$189)+1)*100)*$Q$4</f>
        <v/>
      </c>
      <c r="N142" s="6" t="n">
        <v>0.02</v>
      </c>
      <c r="O142" s="7" t="inlineStr">
        <is>
          <t>brak (surowiec końcowy / nie jest komponentem)</t>
        </is>
      </c>
      <c r="P142" s="3" t="inlineStr">
        <is>
          <t>N/A (Overframe wyłączony w config.py)</t>
        </is>
      </c>
      <c r="Q142" s="3" t="inlineStr">
        <is>
          <t>Brak opisu w WFCD - sprawdź ręcznie: https://wiki.warframe.com/w/Arcane_Blade_Charger</t>
        </is>
      </c>
      <c r="R142" s="3" t="inlineStr">
        <is>
          <t>2026-07-26 14:33</t>
        </is>
      </c>
    </row>
    <row r="143">
      <c r="A143" s="3" t="n">
        <v>142</v>
      </c>
      <c r="B143" s="3" t="inlineStr">
        <is>
          <t>Theorem Demulcent</t>
        </is>
      </c>
      <c r="C143" s="3" t="inlineStr">
        <is>
          <t>Arcanes</t>
        </is>
      </c>
      <c r="D143" s="4" t="n">
        <v>2</v>
      </c>
      <c r="E143" s="4" t="n">
        <v>5.8</v>
      </c>
      <c r="F143" s="3" t="n">
        <v>9</v>
      </c>
      <c r="G143" s="3" t="n">
        <v>18</v>
      </c>
      <c r="H143" s="3" t="n">
        <v>6</v>
      </c>
      <c r="I143" s="3" t="n">
        <v>3.69</v>
      </c>
      <c r="J143" s="3" t="n">
        <v>3</v>
      </c>
      <c r="K143" s="4" t="n">
        <v>5.8</v>
      </c>
      <c r="L143" s="3" t="n">
        <v>0</v>
      </c>
      <c r="M143" s="5">
        <f>IF(MAX($J$2:$J$189)&lt;=0,0,LOG10(J143+1)/LOG10(MAX($J$2:$J$189)+1)*100)*$Q$2+IF(MAX($K$2:$K$189)&lt;=0,0,LOG10(K143+1)/LOG10(MAX($K$2:$K$189)+1)*100)*$Q$3+IF(MAX($F$2:$F$189)&lt;=0,0,LOG10(F143+1)/LOG10(MAX($F$2:$F$189)+1)*100)*$Q$4</f>
        <v/>
      </c>
      <c r="N143" s="6" t="n">
        <v>0.29</v>
      </c>
      <c r="O143" s="7" t="inlineStr">
        <is>
          <t>brak (surowiec końcowy / nie jest komponentem)</t>
        </is>
      </c>
      <c r="P143" s="3" t="inlineStr">
        <is>
          <t>N/A (Overframe wyłączony w config.py)</t>
        </is>
      </c>
      <c r="Q143" s="3" t="inlineStr">
        <is>
          <t>Brak opisu w WFCD - sprawdź ręcznie: https://wiki.warframe.com/w/Theorem_Demulcent</t>
        </is>
      </c>
      <c r="R143" s="3" t="inlineStr">
        <is>
          <t>2026-07-26 14:33</t>
        </is>
      </c>
    </row>
    <row r="144">
      <c r="A144" s="3" t="n">
        <v>143</v>
      </c>
      <c r="B144" s="3" t="inlineStr">
        <is>
          <t>Theorem Contagion</t>
        </is>
      </c>
      <c r="C144" s="3" t="inlineStr">
        <is>
          <t>Arcanes</t>
        </is>
      </c>
      <c r="D144" s="4" t="n">
        <v>5</v>
      </c>
      <c r="E144" s="4" t="n">
        <v>17.2</v>
      </c>
      <c r="F144" s="3" t="n">
        <v>9</v>
      </c>
      <c r="G144" s="3" t="n">
        <v>18</v>
      </c>
      <c r="H144" s="3" t="n">
        <v>0</v>
      </c>
      <c r="I144" s="3" t="n">
        <v>3.3</v>
      </c>
      <c r="J144" s="3" t="n">
        <v>3</v>
      </c>
      <c r="K144" s="4" t="n">
        <v>17.2</v>
      </c>
      <c r="L144" s="3" t="n">
        <v>0</v>
      </c>
      <c r="M144" s="5">
        <f>IF(MAX($J$2:$J$189)&lt;=0,0,LOG10(J144+1)/LOG10(MAX($J$2:$J$189)+1)*100)*$Q$2+IF(MAX($K$2:$K$189)&lt;=0,0,LOG10(K144+1)/LOG10(MAX($K$2:$K$189)+1)*100)*$Q$3+IF(MAX($F$2:$F$189)&lt;=0,0,LOG10(F144+1)/LOG10(MAX($F$2:$F$189)+1)*100)*$Q$4</f>
        <v/>
      </c>
      <c r="N144" s="6" t="n">
        <v>0.34</v>
      </c>
      <c r="O144" s="7" t="inlineStr">
        <is>
          <t>brak (surowiec końcowy / nie jest komponentem)</t>
        </is>
      </c>
      <c r="P144" s="3" t="inlineStr">
        <is>
          <t>N/A (Overframe wyłączony w config.py)</t>
        </is>
      </c>
      <c r="Q144" s="3" t="inlineStr">
        <is>
          <t>Brak opisu w WFCD - sprawdź ręcznie: https://wiki.warframe.com/w/Theorem_Contagion</t>
        </is>
      </c>
      <c r="R144" s="3" t="inlineStr">
        <is>
          <t>2026-07-26 14:33</t>
        </is>
      </c>
    </row>
    <row r="145">
      <c r="A145" s="3" t="n">
        <v>144</v>
      </c>
      <c r="B145" s="3" t="inlineStr">
        <is>
          <t>Virtuos Ghost</t>
        </is>
      </c>
      <c r="C145" s="3" t="inlineStr">
        <is>
          <t>Arcanes</t>
        </is>
      </c>
      <c r="D145" s="4" t="n">
        <v>40</v>
      </c>
      <c r="E145" s="4" t="n">
        <v>64</v>
      </c>
      <c r="F145" s="3" t="n">
        <v>9</v>
      </c>
      <c r="G145" s="3" t="n">
        <v>10</v>
      </c>
      <c r="H145" s="3" t="n">
        <v>2</v>
      </c>
      <c r="I145" s="3" t="n">
        <v>1.96</v>
      </c>
      <c r="J145" s="3" t="n">
        <v>1</v>
      </c>
      <c r="K145" s="4" t="n">
        <v>64</v>
      </c>
      <c r="L145" s="3" t="n">
        <v>0</v>
      </c>
      <c r="M145" s="5">
        <f>IF(MAX($J$2:$J$189)&lt;=0,0,LOG10(J145+1)/LOG10(MAX($J$2:$J$189)+1)*100)*$Q$2+IF(MAX($K$2:$K$189)&lt;=0,0,LOG10(K145+1)/LOG10(MAX($K$2:$K$189)+1)*100)*$Q$3+IF(MAX($F$2:$F$189)&lt;=0,0,LOG10(F145+1)/LOG10(MAX($F$2:$F$189)+1)*100)*$Q$4</f>
        <v/>
      </c>
      <c r="N145" s="6" t="n">
        <v>9.140000000000001</v>
      </c>
      <c r="O145" s="7" t="inlineStr">
        <is>
          <t>brak (surowiec końcowy / nie jest komponentem)</t>
        </is>
      </c>
      <c r="P145" s="3" t="inlineStr">
        <is>
          <t>N/A (Overframe wyłączony w config.py)</t>
        </is>
      </c>
      <c r="Q145" s="3" t="inlineStr">
        <is>
          <t>Brak opisu w WFCD - sprawdź ręcznie: https://wiki.warframe.com/w/Virtuos_Ghost</t>
        </is>
      </c>
      <c r="R145" s="3" t="inlineStr">
        <is>
          <t>2026-07-26 14:33</t>
        </is>
      </c>
    </row>
    <row r="146">
      <c r="A146" s="3" t="n">
        <v>145</v>
      </c>
      <c r="B146" s="3" t="inlineStr">
        <is>
          <t>Arcane Phoenix Helmet</t>
        </is>
      </c>
      <c r="C146" s="3" t="inlineStr">
        <is>
          <t>Skins</t>
        </is>
      </c>
      <c r="D146" s="4" t="n">
        <v>200</v>
      </c>
      <c r="E146" s="4" t="n">
        <v>460</v>
      </c>
      <c r="F146" s="3" t="n">
        <v>9</v>
      </c>
      <c r="G146" s="3" t="n">
        <v>7</v>
      </c>
      <c r="H146" s="3" t="n">
        <v>0</v>
      </c>
      <c r="I146" s="3" t="n">
        <v>1.53</v>
      </c>
      <c r="J146" s="3" t="n">
        <v>2</v>
      </c>
      <c r="K146" s="4" t="n">
        <v>460</v>
      </c>
      <c r="L146" s="3" t="n">
        <v>0</v>
      </c>
      <c r="M146" s="5">
        <f>IF(MAX($J$2:$J$189)&lt;=0,0,LOG10(J146+1)/LOG10(MAX($J$2:$J$189)+1)*100)*$Q$2+IF(MAX($K$2:$K$189)&lt;=0,0,LOG10(K146+1)/LOG10(MAX($K$2:$K$189)+1)*100)*$Q$3+IF(MAX($F$2:$F$189)&lt;=0,0,LOG10(F146+1)/LOG10(MAX($F$2:$F$189)+1)*100)*$Q$4</f>
        <v/>
      </c>
      <c r="N146" s="6" t="n"/>
      <c r="O146" s="7" t="inlineStr">
        <is>
          <t>brak (surowiec końcowy / nie jest komponentem)</t>
        </is>
      </c>
      <c r="P146" s="3" t="inlineStr">
        <is>
          <t>N/A (Overframe wyłączony w config.py)</t>
        </is>
      </c>
      <c r="Q146" s="3" t="inlineStr">
        <is>
          <t>This helmet is worn by Ember, and reduces Shields in order to boost Energy Capacity.</t>
        </is>
      </c>
      <c r="R146" s="3" t="inlineStr">
        <is>
          <t>2026-07-26 14:33</t>
        </is>
      </c>
    </row>
    <row r="147">
      <c r="A147" s="3" t="n">
        <v>146</v>
      </c>
      <c r="B147" s="3" t="inlineStr">
        <is>
          <t>Conjunction Voltage</t>
        </is>
      </c>
      <c r="C147" s="3" t="inlineStr">
        <is>
          <t>Arcanes</t>
        </is>
      </c>
      <c r="D147" s="4" t="n">
        <v>2</v>
      </c>
      <c r="E147" s="4" t="n">
        <v>2.6</v>
      </c>
      <c r="F147" s="3" t="n">
        <v>8</v>
      </c>
      <c r="G147" s="3" t="n">
        <v>35</v>
      </c>
      <c r="H147" s="3" t="n">
        <v>31</v>
      </c>
      <c r="I147" s="3" t="n">
        <v>12.53</v>
      </c>
      <c r="J147" s="3" t="n">
        <v>14</v>
      </c>
      <c r="K147" s="4" t="n">
        <v>2.6</v>
      </c>
      <c r="L147" s="3" t="n">
        <v>0</v>
      </c>
      <c r="M147" s="5">
        <f>IF(MAX($J$2:$J$189)&lt;=0,0,LOG10(J147+1)/LOG10(MAX($J$2:$J$189)+1)*100)*$Q$2+IF(MAX($K$2:$K$189)&lt;=0,0,LOG10(K147+1)/LOG10(MAX($K$2:$K$189)+1)*100)*$Q$3+IF(MAX($F$2:$F$189)&lt;=0,0,LOG10(F147+1)/LOG10(MAX($F$2:$F$189)+1)*100)*$Q$4</f>
        <v/>
      </c>
      <c r="N147" s="6" t="n">
        <v>0.03</v>
      </c>
      <c r="O147" s="7" t="inlineStr">
        <is>
          <t>brak (surowiec końcowy / nie jest komponentem)</t>
        </is>
      </c>
      <c r="P147" s="3" t="inlineStr">
        <is>
          <t>N/A (Overframe wyłączony w config.py)</t>
        </is>
      </c>
      <c r="Q147" s="3" t="inlineStr">
        <is>
          <t>Brak opisu w WFCD - sprawdź ręcznie: https://wiki.warframe.com/w/Conjunction_Voltage</t>
        </is>
      </c>
      <c r="R147" s="3" t="inlineStr">
        <is>
          <t>2026-07-26 14:33</t>
        </is>
      </c>
    </row>
    <row r="148">
      <c r="A148" s="3" t="n">
        <v>147</v>
      </c>
      <c r="B148" s="3" t="inlineStr">
        <is>
          <t>Virtuos Strike</t>
        </is>
      </c>
      <c r="C148" s="3" t="inlineStr">
        <is>
          <t>Arcanes</t>
        </is>
      </c>
      <c r="D148" s="4" t="n">
        <v>4</v>
      </c>
      <c r="E148" s="4" t="n">
        <v>6.4</v>
      </c>
      <c r="F148" s="3" t="n">
        <v>8</v>
      </c>
      <c r="G148" s="3" t="n">
        <v>27</v>
      </c>
      <c r="H148" s="3" t="n">
        <v>26</v>
      </c>
      <c r="I148" s="3" t="n">
        <v>10.59</v>
      </c>
      <c r="J148" s="3" t="n">
        <v>12</v>
      </c>
      <c r="K148" s="4" t="n">
        <v>6.4</v>
      </c>
      <c r="L148" s="3" t="n">
        <v>0</v>
      </c>
      <c r="M148" s="5">
        <f>IF(MAX($J$2:$J$189)&lt;=0,0,LOG10(J148+1)/LOG10(MAX($J$2:$J$189)+1)*100)*$Q$2+IF(MAX($K$2:$K$189)&lt;=0,0,LOG10(K148+1)/LOG10(MAX($K$2:$K$189)+1)*100)*$Q$3+IF(MAX($F$2:$F$189)&lt;=0,0,LOG10(F148+1)/LOG10(MAX($F$2:$F$189)+1)*100)*$Q$4</f>
        <v/>
      </c>
      <c r="N148" s="6" t="n">
        <v>0.91</v>
      </c>
      <c r="O148" s="7" t="inlineStr">
        <is>
          <t>brak (surowiec końcowy / nie jest komponentem)</t>
        </is>
      </c>
      <c r="P148" s="3" t="inlineStr">
        <is>
          <t>N/A (Overframe wyłączony w config.py)</t>
        </is>
      </c>
      <c r="Q148" s="3" t="inlineStr">
        <is>
          <t>Brak opisu w WFCD - sprawdź ręcznie: https://wiki.warframe.com/w/Virtuos_Strike</t>
        </is>
      </c>
      <c r="R148" s="3" t="inlineStr">
        <is>
          <t>2026-07-26 14:33</t>
        </is>
      </c>
    </row>
    <row r="149">
      <c r="A149" s="3" t="n">
        <v>148</v>
      </c>
      <c r="B149" s="3" t="inlineStr">
        <is>
          <t>Arcane Bodyguard</t>
        </is>
      </c>
      <c r="C149" s="3" t="inlineStr">
        <is>
          <t>Arcanes</t>
        </is>
      </c>
      <c r="D149" s="4" t="n">
        <v>2</v>
      </c>
      <c r="E149" s="4" t="n">
        <v>2</v>
      </c>
      <c r="F149" s="3" t="n">
        <v>8</v>
      </c>
      <c r="G149" s="3" t="n">
        <v>25</v>
      </c>
      <c r="H149" s="3" t="n">
        <v>3</v>
      </c>
      <c r="I149" s="3" t="n">
        <v>4.64</v>
      </c>
      <c r="J149" s="3" t="n">
        <v>3</v>
      </c>
      <c r="K149" s="4" t="n">
        <v>2</v>
      </c>
      <c r="L149" s="3" t="n">
        <v>0</v>
      </c>
      <c r="M149" s="5">
        <f>IF(MAX($J$2:$J$189)&lt;=0,0,LOG10(J149+1)/LOG10(MAX($J$2:$J$189)+1)*100)*$Q$2+IF(MAX($K$2:$K$189)&lt;=0,0,LOG10(K149+1)/LOG10(MAX($K$2:$K$189)+1)*100)*$Q$3+IF(MAX($F$2:$F$189)&lt;=0,0,LOG10(F149+1)/LOG10(MAX($F$2:$F$189)+1)*100)*$Q$4</f>
        <v/>
      </c>
      <c r="N149" s="6" t="n">
        <v>0.01</v>
      </c>
      <c r="O149" s="7" t="inlineStr">
        <is>
          <t>brak (surowiec końcowy / nie jest komponentem)</t>
        </is>
      </c>
      <c r="P149" s="3" t="inlineStr">
        <is>
          <t>N/A (Overframe wyłączony w config.py)</t>
        </is>
      </c>
      <c r="Q149" s="3" t="inlineStr">
        <is>
          <t>Brak opisu w WFCD - sprawdź ręcznie: https://wiki.warframe.com/w/Arcane_Bodyguard</t>
        </is>
      </c>
      <c r="R149" s="3" t="inlineStr">
        <is>
          <t>2026-07-26 14:33</t>
        </is>
      </c>
    </row>
    <row r="150">
      <c r="A150" s="3" t="n">
        <v>149</v>
      </c>
      <c r="B150" s="3" t="inlineStr">
        <is>
          <t>Arcane Resistance</t>
        </is>
      </c>
      <c r="C150" s="3" t="inlineStr">
        <is>
          <t>Arcanes</t>
        </is>
      </c>
      <c r="D150" s="4" t="n">
        <v>3</v>
      </c>
      <c r="E150" s="4" t="n">
        <v>4.8</v>
      </c>
      <c r="F150" s="3" t="n">
        <v>8</v>
      </c>
      <c r="G150" s="3" t="n">
        <v>18</v>
      </c>
      <c r="H150" s="3" t="n">
        <v>12</v>
      </c>
      <c r="I150" s="3" t="n">
        <v>5.43</v>
      </c>
      <c r="J150" s="3" t="n">
        <v>6</v>
      </c>
      <c r="K150" s="4" t="n">
        <v>4.8</v>
      </c>
      <c r="L150" s="3" t="n">
        <v>0</v>
      </c>
      <c r="M150" s="5">
        <f>IF(MAX($J$2:$J$189)&lt;=0,0,LOG10(J150+1)/LOG10(MAX($J$2:$J$189)+1)*100)*$Q$2+IF(MAX($K$2:$K$189)&lt;=0,0,LOG10(K150+1)/LOG10(MAX($K$2:$K$189)+1)*100)*$Q$3+IF(MAX($F$2:$F$189)&lt;=0,0,LOG10(F150+1)/LOG10(MAX($F$2:$F$189)+1)*100)*$Q$4</f>
        <v/>
      </c>
      <c r="N150" s="6" t="n">
        <v>0.05</v>
      </c>
      <c r="O150" s="7" t="inlineStr">
        <is>
          <t>brak (surowiec końcowy / nie jest komponentem)</t>
        </is>
      </c>
      <c r="P150" s="3" t="inlineStr">
        <is>
          <t>N/A (Overframe wyłączony w config.py)</t>
        </is>
      </c>
      <c r="Q150" s="3" t="inlineStr">
        <is>
          <t>Brak opisu w WFCD - sprawdź ręcznie: https://wiki.warframe.com/w/Arcane_Resistance</t>
        </is>
      </c>
      <c r="R150" s="3" t="inlineStr">
        <is>
          <t>2026-07-26 14:33</t>
        </is>
      </c>
    </row>
    <row r="151">
      <c r="A151" s="3" t="n">
        <v>150</v>
      </c>
      <c r="B151" s="3" t="inlineStr">
        <is>
          <t>Virtuos Forge</t>
        </is>
      </c>
      <c r="C151" s="3" t="inlineStr">
        <is>
          <t>Arcanes</t>
        </is>
      </c>
      <c r="D151" s="4" t="n">
        <v>6</v>
      </c>
      <c r="E151" s="4" t="n">
        <v>16</v>
      </c>
      <c r="F151" s="3" t="n">
        <v>8</v>
      </c>
      <c r="G151" s="3" t="n">
        <v>18</v>
      </c>
      <c r="H151" s="3" t="n">
        <v>13</v>
      </c>
      <c r="I151" s="3" t="n">
        <v>2.54</v>
      </c>
      <c r="J151" s="3" t="n">
        <v>5</v>
      </c>
      <c r="K151" s="4" t="n">
        <v>16</v>
      </c>
      <c r="L151" s="3" t="n">
        <v>0</v>
      </c>
      <c r="M151" s="5">
        <f>IF(MAX($J$2:$J$189)&lt;=0,0,LOG10(J151+1)/LOG10(MAX($J$2:$J$189)+1)*100)*$Q$2+IF(MAX($K$2:$K$189)&lt;=0,0,LOG10(K151+1)/LOG10(MAX($K$2:$K$189)+1)*100)*$Q$3+IF(MAX($F$2:$F$189)&lt;=0,0,LOG10(F151+1)/LOG10(MAX($F$2:$F$189)+1)*100)*$Q$4</f>
        <v/>
      </c>
      <c r="N151" s="6" t="n">
        <v>2.29</v>
      </c>
      <c r="O151" s="7" t="inlineStr">
        <is>
          <t>brak (surowiec końcowy / nie jest komponentem)</t>
        </is>
      </c>
      <c r="P151" s="3" t="inlineStr">
        <is>
          <t>N/A (Overframe wyłączony w config.py)</t>
        </is>
      </c>
      <c r="Q151" s="3" t="inlineStr">
        <is>
          <t>Brak opisu w WFCD - sprawdź ręcznie: https://wiki.warframe.com/w/Virtuos_Forge</t>
        </is>
      </c>
      <c r="R151" s="3" t="inlineStr">
        <is>
          <t>2026-07-26 14:33</t>
        </is>
      </c>
    </row>
    <row r="152">
      <c r="A152" s="3" t="n">
        <v>151</v>
      </c>
      <c r="B152" s="3" t="inlineStr">
        <is>
          <t>Exodia Hunt</t>
        </is>
      </c>
      <c r="C152" s="3" t="inlineStr">
        <is>
          <t>Arcanes</t>
        </is>
      </c>
      <c r="D152" s="4" t="n">
        <v>10</v>
      </c>
      <c r="E152" s="4" t="n">
        <v>56</v>
      </c>
      <c r="F152" s="3" t="n">
        <v>8</v>
      </c>
      <c r="G152" s="3" t="n">
        <v>9</v>
      </c>
      <c r="H152" s="3" t="n">
        <v>2</v>
      </c>
      <c r="I152" s="3" t="n">
        <v>1.82</v>
      </c>
      <c r="J152" s="3" t="n">
        <v>1</v>
      </c>
      <c r="K152" s="4" t="n">
        <v>56</v>
      </c>
      <c r="L152" s="3" t="n">
        <v>0</v>
      </c>
      <c r="M152" s="5">
        <f>IF(MAX($J$2:$J$189)&lt;=0,0,LOG10(J152+1)/LOG10(MAX($J$2:$J$189)+1)*100)*$Q$2+IF(MAX($K$2:$K$189)&lt;=0,0,LOG10(K152+1)/LOG10(MAX($K$2:$K$189)+1)*100)*$Q$3+IF(MAX($F$2:$F$189)&lt;=0,0,LOG10(F152+1)/LOG10(MAX($F$2:$F$189)+1)*100)*$Q$4</f>
        <v/>
      </c>
      <c r="N152" s="6" t="n">
        <v>8</v>
      </c>
      <c r="O152" s="7" t="inlineStr">
        <is>
          <t>brak (surowiec końcowy / nie jest komponentem)</t>
        </is>
      </c>
      <c r="P152" s="3" t="inlineStr">
        <is>
          <t>N/A (Overframe wyłączony w config.py)</t>
        </is>
      </c>
      <c r="Q152" s="3" t="inlineStr">
        <is>
          <t>Brak opisu w WFCD - sprawdź ręcznie: https://wiki.warframe.com/w/Exodia_Hunt</t>
        </is>
      </c>
      <c r="R152" s="3" t="inlineStr">
        <is>
          <t>2026-07-26 14:33</t>
        </is>
      </c>
    </row>
    <row r="153">
      <c r="A153" s="3" t="n">
        <v>152</v>
      </c>
      <c r="B153" s="3" t="inlineStr">
        <is>
          <t>Arcane Esprit Helmet</t>
        </is>
      </c>
      <c r="C153" s="3" t="inlineStr">
        <is>
          <t>Skins</t>
        </is>
      </c>
      <c r="D153" s="4" t="n">
        <v>500</v>
      </c>
      <c r="E153" s="4" t="n">
        <v>1000</v>
      </c>
      <c r="F153" s="3" t="n">
        <v>8</v>
      </c>
      <c r="G153" s="3" t="n">
        <v>2</v>
      </c>
      <c r="H153" s="3" t="n">
        <v>1</v>
      </c>
      <c r="I153" s="3" t="n">
        <v>1.44</v>
      </c>
      <c r="J153" s="3" t="n">
        <v>1</v>
      </c>
      <c r="K153" s="4" t="n">
        <v>1000</v>
      </c>
      <c r="L153" s="3" t="n">
        <v>0</v>
      </c>
      <c r="M153" s="5">
        <f>IF(MAX($J$2:$J$189)&lt;=0,0,LOG10(J153+1)/LOG10(MAX($J$2:$J$189)+1)*100)*$Q$2+IF(MAX($K$2:$K$189)&lt;=0,0,LOG10(K153+1)/LOG10(MAX($K$2:$K$189)+1)*100)*$Q$3+IF(MAX($F$2:$F$189)&lt;=0,0,LOG10(F153+1)/LOG10(MAX($F$2:$F$189)+1)*100)*$Q$4</f>
        <v/>
      </c>
      <c r="N153" s="6" t="n"/>
      <c r="O153" s="7" t="inlineStr">
        <is>
          <t>brak (surowiec końcowy / nie jest komponentem)</t>
        </is>
      </c>
      <c r="P153" s="3" t="inlineStr">
        <is>
          <t>N/A (Overframe wyłączony w config.py)</t>
        </is>
      </c>
      <c r="Q153" s="3" t="inlineStr">
        <is>
          <t>This helmet is worn by Vauban, and increases Energy Max, with a reduction to Shields.</t>
        </is>
      </c>
      <c r="R153" s="3" t="inlineStr">
        <is>
          <t>2026-07-26 14:33</t>
        </is>
      </c>
    </row>
    <row r="154">
      <c r="A154" s="3" t="n">
        <v>153</v>
      </c>
      <c r="B154" s="3" t="inlineStr">
        <is>
          <t>Melee Doughty</t>
        </is>
      </c>
      <c r="C154" s="3" t="inlineStr">
        <is>
          <t>Arcanes</t>
        </is>
      </c>
      <c r="D154" s="4" t="n">
        <v>2</v>
      </c>
      <c r="E154" s="4" t="n">
        <v>2</v>
      </c>
      <c r="F154" s="3" t="n">
        <v>7</v>
      </c>
      <c r="G154" s="3" t="n">
        <v>58</v>
      </c>
      <c r="H154" s="3" t="n">
        <v>104</v>
      </c>
      <c r="I154" s="3" t="n">
        <v>28.37</v>
      </c>
      <c r="J154" s="3" t="n">
        <v>40</v>
      </c>
      <c r="K154" s="4" t="n">
        <v>2</v>
      </c>
      <c r="L154" s="3" t="n">
        <v>0</v>
      </c>
      <c r="M154" s="5">
        <f>IF(MAX($J$2:$J$189)&lt;=0,0,LOG10(J154+1)/LOG10(MAX($J$2:$J$189)+1)*100)*$Q$2+IF(MAX($K$2:$K$189)&lt;=0,0,LOG10(K154+1)/LOG10(MAX($K$2:$K$189)+1)*100)*$Q$3+IF(MAX($F$2:$F$189)&lt;=0,0,LOG10(F154+1)/LOG10(MAX($F$2:$F$189)+1)*100)*$Q$4</f>
        <v/>
      </c>
      <c r="N154" s="6" t="n">
        <v>0.04</v>
      </c>
      <c r="O154" s="7" t="inlineStr">
        <is>
          <t>brak (surowiec końcowy / nie jest komponentem)</t>
        </is>
      </c>
      <c r="P154" s="3" t="inlineStr">
        <is>
          <t>N/A (Overframe wyłączony w config.py)</t>
        </is>
      </c>
      <c r="Q154" s="3" t="inlineStr">
        <is>
          <t>Brak opisu w WFCD - sprawdź ręcznie: https://wiki.warframe.com/w/Melee_Doughty</t>
        </is>
      </c>
      <c r="R154" s="3" t="inlineStr">
        <is>
          <t>2026-07-26 14:33</t>
        </is>
      </c>
    </row>
    <row r="155">
      <c r="A155" s="3" t="n">
        <v>154</v>
      </c>
      <c r="B155" s="3" t="inlineStr">
        <is>
          <t>Emergence Dissipate</t>
        </is>
      </c>
      <c r="C155" s="3" t="inlineStr">
        <is>
          <t>Arcanes</t>
        </is>
      </c>
      <c r="D155" s="4" t="n">
        <v>1</v>
      </c>
      <c r="E155" s="4" t="n">
        <v>2</v>
      </c>
      <c r="F155" s="3" t="n">
        <v>7</v>
      </c>
      <c r="G155" s="3" t="n">
        <v>37</v>
      </c>
      <c r="H155" s="3" t="n">
        <v>20</v>
      </c>
      <c r="I155" s="3" t="n">
        <v>6.13</v>
      </c>
      <c r="J155" s="3" t="n">
        <v>8</v>
      </c>
      <c r="K155" s="4" t="n">
        <v>2</v>
      </c>
      <c r="L155" s="3" t="n">
        <v>0</v>
      </c>
      <c r="M155" s="5">
        <f>IF(MAX($J$2:$J$189)&lt;=0,0,LOG10(J155+1)/LOG10(MAX($J$2:$J$189)+1)*100)*$Q$2+IF(MAX($K$2:$K$189)&lt;=0,0,LOG10(K155+1)/LOG10(MAX($K$2:$K$189)+1)*100)*$Q$3+IF(MAX($F$2:$F$189)&lt;=0,0,LOG10(F155+1)/LOG10(MAX($F$2:$F$189)+1)*100)*$Q$4</f>
        <v/>
      </c>
      <c r="N155" s="6" t="n">
        <v>0.29</v>
      </c>
      <c r="O155" s="7" t="inlineStr">
        <is>
          <t>brak (surowiec końcowy / nie jest komponentem)</t>
        </is>
      </c>
      <c r="P155" s="3" t="inlineStr">
        <is>
          <t>N/A (Overframe wyłączony w config.py)</t>
        </is>
      </c>
      <c r="Q155" s="3" t="inlineStr">
        <is>
          <t>Brak opisu w WFCD - sprawdź ręcznie: https://wiki.warframe.com/w/Emergence_Dissipate</t>
        </is>
      </c>
      <c r="R155" s="3" t="inlineStr">
        <is>
          <t>2026-07-26 14:33</t>
        </is>
      </c>
    </row>
    <row r="156">
      <c r="A156" s="3" t="n">
        <v>155</v>
      </c>
      <c r="B156" s="3" t="inlineStr">
        <is>
          <t>Arcane Tanker</t>
        </is>
      </c>
      <c r="C156" s="3" t="inlineStr">
        <is>
          <t>Arcanes</t>
        </is>
      </c>
      <c r="D156" s="4" t="n">
        <v>1</v>
      </c>
      <c r="E156" s="4" t="n">
        <v>2.4</v>
      </c>
      <c r="F156" s="3" t="n">
        <v>7</v>
      </c>
      <c r="G156" s="3" t="n">
        <v>35</v>
      </c>
      <c r="H156" s="3" t="n">
        <v>15</v>
      </c>
      <c r="I156" s="3" t="n">
        <v>8.220000000000001</v>
      </c>
      <c r="J156" s="3" t="n">
        <v>8</v>
      </c>
      <c r="K156" s="4" t="n">
        <v>2.4</v>
      </c>
      <c r="L156" s="3" t="n">
        <v>0</v>
      </c>
      <c r="M156" s="5">
        <f>IF(MAX($J$2:$J$189)&lt;=0,0,LOG10(J156+1)/LOG10(MAX($J$2:$J$189)+1)*100)*$Q$2+IF(MAX($K$2:$K$189)&lt;=0,0,LOG10(K156+1)/LOG10(MAX($K$2:$K$189)+1)*100)*$Q$3+IF(MAX($F$2:$F$189)&lt;=0,0,LOG10(F156+1)/LOG10(MAX($F$2:$F$189)+1)*100)*$Q$4</f>
        <v/>
      </c>
      <c r="N156" s="6" t="n">
        <v>0.02</v>
      </c>
      <c r="O156" s="7" t="inlineStr">
        <is>
          <t>brak (surowiec końcowy / nie jest komponentem)</t>
        </is>
      </c>
      <c r="P156" s="3" t="inlineStr">
        <is>
          <t>N/A (Overframe wyłączony w config.py)</t>
        </is>
      </c>
      <c r="Q156" s="3" t="inlineStr">
        <is>
          <t>Brak opisu w WFCD - sprawdź ręcznie: https://wiki.warframe.com/w/Arcane_Tanker</t>
        </is>
      </c>
      <c r="R156" s="3" t="inlineStr">
        <is>
          <t>2026-07-26 14:33</t>
        </is>
      </c>
    </row>
    <row r="157">
      <c r="A157" s="3" t="n">
        <v>156</v>
      </c>
      <c r="B157" s="3" t="inlineStr">
        <is>
          <t>Melee Retaliation</t>
        </is>
      </c>
      <c r="C157" s="3" t="inlineStr">
        <is>
          <t>Arcanes</t>
        </is>
      </c>
      <c r="D157" s="4" t="n">
        <v>2</v>
      </c>
      <c r="E157" s="4" t="n">
        <v>2.8</v>
      </c>
      <c r="F157" s="3" t="n">
        <v>7</v>
      </c>
      <c r="G157" s="3" t="n">
        <v>33</v>
      </c>
      <c r="H157" s="3" t="n">
        <v>157</v>
      </c>
      <c r="I157" s="3" t="n">
        <v>28.31</v>
      </c>
      <c r="J157" s="3" t="n">
        <v>53</v>
      </c>
      <c r="K157" s="4" t="n">
        <v>2.8</v>
      </c>
      <c r="L157" s="3" t="n">
        <v>0</v>
      </c>
      <c r="M157" s="5">
        <f>IF(MAX($J$2:$J$189)&lt;=0,0,LOG10(J157+1)/LOG10(MAX($J$2:$J$189)+1)*100)*$Q$2+IF(MAX($K$2:$K$189)&lt;=0,0,LOG10(K157+1)/LOG10(MAX($K$2:$K$189)+1)*100)*$Q$3+IF(MAX($F$2:$F$189)&lt;=0,0,LOG10(F157+1)/LOG10(MAX($F$2:$F$189)+1)*100)*$Q$4</f>
        <v/>
      </c>
      <c r="N157" s="6" t="n">
        <v>0.05</v>
      </c>
      <c r="O157" s="7" t="inlineStr">
        <is>
          <t>brak (surowiec końcowy / nie jest komponentem)</t>
        </is>
      </c>
      <c r="P157" s="3" t="inlineStr">
        <is>
          <t>N/A (Overframe wyłączony w config.py)</t>
        </is>
      </c>
      <c r="Q157" s="3" t="inlineStr">
        <is>
          <t>Brak opisu w WFCD - sprawdź ręcznie: https://wiki.warframe.com/w/Melee_Retaliation</t>
        </is>
      </c>
      <c r="R157" s="3" t="inlineStr">
        <is>
          <t>2026-07-26 14:33</t>
        </is>
      </c>
    </row>
    <row r="158">
      <c r="A158" s="3" t="n">
        <v>157</v>
      </c>
      <c r="B158" s="3" t="inlineStr">
        <is>
          <t>Arcane Victory</t>
        </is>
      </c>
      <c r="C158" s="3" t="inlineStr">
        <is>
          <t>Arcanes</t>
        </is>
      </c>
      <c r="D158" s="4" t="n">
        <v>13</v>
      </c>
      <c r="E158" s="4" t="n">
        <v>14.2</v>
      </c>
      <c r="F158" s="3" t="n">
        <v>7</v>
      </c>
      <c r="G158" s="3" t="n">
        <v>28</v>
      </c>
      <c r="H158" s="3" t="n">
        <v>0</v>
      </c>
      <c r="I158" s="3" t="n">
        <v>4.79</v>
      </c>
      <c r="J158" s="3" t="n">
        <v>5</v>
      </c>
      <c r="K158" s="4" t="n">
        <v>14.2</v>
      </c>
      <c r="L158" s="3" t="n">
        <v>0</v>
      </c>
      <c r="M158" s="5">
        <f>IF(MAX($J$2:$J$189)&lt;=0,0,LOG10(J158+1)/LOG10(MAX($J$2:$J$189)+1)*100)*$Q$2+IF(MAX($K$2:$K$189)&lt;=0,0,LOG10(K158+1)/LOG10(MAX($K$2:$K$189)+1)*100)*$Q$3+IF(MAX($F$2:$F$189)&lt;=0,0,LOG10(F158+1)/LOG10(MAX($F$2:$F$189)+1)*100)*$Q$4</f>
        <v/>
      </c>
      <c r="N158" s="6" t="n">
        <v>0.14</v>
      </c>
      <c r="O158" s="7" t="inlineStr">
        <is>
          <t>brak (surowiec końcowy / nie jest komponentem)</t>
        </is>
      </c>
      <c r="P158" s="3" t="inlineStr">
        <is>
          <t>N/A (Overframe wyłączony w config.py)</t>
        </is>
      </c>
      <c r="Q158" s="3" t="inlineStr">
        <is>
          <t>Brak opisu w WFCD - sprawdź ręcznie: https://wiki.warframe.com/w/Arcane_Victory</t>
        </is>
      </c>
      <c r="R158" s="3" t="inlineStr">
        <is>
          <t>2026-07-26 14:33</t>
        </is>
      </c>
    </row>
    <row r="159">
      <c r="A159" s="3" t="n">
        <v>158</v>
      </c>
      <c r="B159" s="3" t="inlineStr">
        <is>
          <t>Emergence Savior</t>
        </is>
      </c>
      <c r="C159" s="3" t="inlineStr">
        <is>
          <t>Arcanes</t>
        </is>
      </c>
      <c r="D159" s="4" t="n">
        <v>2</v>
      </c>
      <c r="E159" s="4" t="n">
        <v>2</v>
      </c>
      <c r="F159" s="3" t="n">
        <v>7</v>
      </c>
      <c r="G159" s="3" t="n">
        <v>26</v>
      </c>
      <c r="H159" s="3" t="n">
        <v>60</v>
      </c>
      <c r="I159" s="3" t="n">
        <v>9.23</v>
      </c>
      <c r="J159" s="3" t="n">
        <v>20</v>
      </c>
      <c r="K159" s="4" t="n">
        <v>2</v>
      </c>
      <c r="L159" s="3" t="n">
        <v>0</v>
      </c>
      <c r="M159" s="5">
        <f>IF(MAX($J$2:$J$189)&lt;=0,0,LOG10(J159+1)/LOG10(MAX($J$2:$J$189)+1)*100)*$Q$2+IF(MAX($K$2:$K$189)&lt;=0,0,LOG10(K159+1)/LOG10(MAX($K$2:$K$189)+1)*100)*$Q$3+IF(MAX($F$2:$F$189)&lt;=0,0,LOG10(F159+1)/LOG10(MAX($F$2:$F$189)+1)*100)*$Q$4</f>
        <v/>
      </c>
      <c r="N159" s="6" t="n">
        <v>0.29</v>
      </c>
      <c r="O159" s="7" t="inlineStr">
        <is>
          <t>brak (surowiec końcowy / nie jest komponentem)</t>
        </is>
      </c>
      <c r="P159" s="3" t="inlineStr">
        <is>
          <t>N/A (Overframe wyłączony w config.py)</t>
        </is>
      </c>
      <c r="Q159" s="3" t="inlineStr">
        <is>
          <t>Brak opisu w WFCD - sprawdź ręcznie: https://wiki.warframe.com/w/Emergence_Savior</t>
        </is>
      </c>
      <c r="R159" s="3" t="inlineStr">
        <is>
          <t>2026-07-26 14:33</t>
        </is>
      </c>
    </row>
    <row r="160">
      <c r="A160" s="3" t="n">
        <v>159</v>
      </c>
      <c r="B160" s="3" t="inlineStr">
        <is>
          <t>Arcane Warmth</t>
        </is>
      </c>
      <c r="C160" s="3" t="inlineStr">
        <is>
          <t>Arcanes</t>
        </is>
      </c>
      <c r="D160" s="4" t="n">
        <v>2</v>
      </c>
      <c r="E160" s="4" t="n">
        <v>3.2</v>
      </c>
      <c r="F160" s="3" t="n">
        <v>7</v>
      </c>
      <c r="G160" s="3" t="n">
        <v>23</v>
      </c>
      <c r="H160" s="3" t="n">
        <v>12</v>
      </c>
      <c r="I160" s="3" t="n">
        <v>3.08</v>
      </c>
      <c r="J160" s="3" t="n">
        <v>5</v>
      </c>
      <c r="K160" s="4" t="n">
        <v>3.2</v>
      </c>
      <c r="L160" s="3" t="n">
        <v>0</v>
      </c>
      <c r="M160" s="5">
        <f>IF(MAX($J$2:$J$189)&lt;=0,0,LOG10(J160+1)/LOG10(MAX($J$2:$J$189)+1)*100)*$Q$2+IF(MAX($K$2:$K$189)&lt;=0,0,LOG10(K160+1)/LOG10(MAX($K$2:$K$189)+1)*100)*$Q$3+IF(MAX($F$2:$F$189)&lt;=0,0,LOG10(F160+1)/LOG10(MAX($F$2:$F$189)+1)*100)*$Q$4</f>
        <v/>
      </c>
      <c r="N160" s="6" t="n">
        <v>0.07000000000000001</v>
      </c>
      <c r="O160" s="7" t="inlineStr">
        <is>
          <t>brak (surowiec końcowy / nie jest komponentem)</t>
        </is>
      </c>
      <c r="P160" s="3" t="inlineStr">
        <is>
          <t>N/A (Overframe wyłączony w config.py)</t>
        </is>
      </c>
      <c r="Q160" s="3" t="inlineStr">
        <is>
          <t>Brak opisu w WFCD - sprawdź ręcznie: https://wiki.warframe.com/w/Arcane_Warmth</t>
        </is>
      </c>
      <c r="R160" s="3" t="inlineStr">
        <is>
          <t>2026-07-26 14:33</t>
        </is>
      </c>
    </row>
    <row r="161">
      <c r="A161" s="3" t="n">
        <v>160</v>
      </c>
      <c r="B161" s="3" t="inlineStr">
        <is>
          <t>Arcane Scorpion Helmet</t>
        </is>
      </c>
      <c r="C161" s="3" t="inlineStr">
        <is>
          <t>Skins</t>
        </is>
      </c>
      <c r="D161" s="4" t="n">
        <v>250</v>
      </c>
      <c r="E161" s="4" t="n">
        <v>749.3</v>
      </c>
      <c r="F161" s="3" t="n">
        <v>7</v>
      </c>
      <c r="G161" s="3" t="n">
        <v>3</v>
      </c>
      <c r="H161" s="3" t="n">
        <v>0</v>
      </c>
      <c r="I161" s="3" t="n">
        <v>1.42</v>
      </c>
      <c r="J161" s="3" t="n">
        <v>1</v>
      </c>
      <c r="K161" s="4" t="n">
        <v>749.3</v>
      </c>
      <c r="L161" s="3" t="n">
        <v>0</v>
      </c>
      <c r="M161" s="5">
        <f>IF(MAX($J$2:$J$189)&lt;=0,0,LOG10(J161+1)/LOG10(MAX($J$2:$J$189)+1)*100)*$Q$2+IF(MAX($K$2:$K$189)&lt;=0,0,LOG10(K161+1)/LOG10(MAX($K$2:$K$189)+1)*100)*$Q$3+IF(MAX($F$2:$F$189)&lt;=0,0,LOG10(F161+1)/LOG10(MAX($F$2:$F$189)+1)*100)*$Q$4</f>
        <v/>
      </c>
      <c r="N161" s="6" t="n"/>
      <c r="O161" s="7" t="inlineStr">
        <is>
          <t>brak (surowiec końcowy / nie jest komponentem)</t>
        </is>
      </c>
      <c r="P161" s="3" t="inlineStr">
        <is>
          <t>N/A (Overframe wyłączony w config.py)</t>
        </is>
      </c>
      <c r="Q161" s="3" t="inlineStr">
        <is>
          <t>This helmet is worn by Ash, and increases duration of Aim Glide and Wall Latch, but reduces Ability Efficiency.</t>
        </is>
      </c>
      <c r="R161" s="3" t="inlineStr">
        <is>
          <t>2026-07-26 14:33</t>
        </is>
      </c>
    </row>
    <row r="162">
      <c r="A162" s="3" t="n">
        <v>161</v>
      </c>
      <c r="B162" s="3" t="inlineStr">
        <is>
          <t>Molt Reconstruct</t>
        </is>
      </c>
      <c r="C162" s="3" t="inlineStr">
        <is>
          <t>Arcanes</t>
        </is>
      </c>
      <c r="D162" s="4" t="n">
        <v>2</v>
      </c>
      <c r="E162" s="4" t="n">
        <v>2.8</v>
      </c>
      <c r="F162" s="3" t="n">
        <v>6</v>
      </c>
      <c r="G162" s="3" t="n">
        <v>47</v>
      </c>
      <c r="H162" s="3" t="n">
        <v>103</v>
      </c>
      <c r="I162" s="3" t="n">
        <v>35.28</v>
      </c>
      <c r="J162" s="3" t="n">
        <v>43</v>
      </c>
      <c r="K162" s="4" t="n">
        <v>2.8</v>
      </c>
      <c r="L162" s="3" t="n">
        <v>0</v>
      </c>
      <c r="M162" s="5">
        <f>IF(MAX($J$2:$J$189)&lt;=0,0,LOG10(J162+1)/LOG10(MAX($J$2:$J$189)+1)*100)*$Q$2+IF(MAX($K$2:$K$189)&lt;=0,0,LOG10(K162+1)/LOG10(MAX($K$2:$K$189)+1)*100)*$Q$3+IF(MAX($F$2:$F$189)&lt;=0,0,LOG10(F162+1)/LOG10(MAX($F$2:$F$189)+1)*100)*$Q$4</f>
        <v/>
      </c>
      <c r="N162" s="6" t="n">
        <v>0.4</v>
      </c>
      <c r="O162" s="7" t="inlineStr">
        <is>
          <t>brak (surowiec końcowy / nie jest komponentem)</t>
        </is>
      </c>
      <c r="P162" s="3" t="inlineStr">
        <is>
          <t>N/A (Overframe wyłączony w config.py)</t>
        </is>
      </c>
      <c r="Q162" s="3" t="inlineStr">
        <is>
          <t>Brak opisu w WFCD - sprawdź ręcznie: https://wiki.warframe.com/w/Molt_Reconstruct</t>
        </is>
      </c>
      <c r="R162" s="3" t="inlineStr">
        <is>
          <t>2026-07-26 14:33</t>
        </is>
      </c>
    </row>
    <row r="163">
      <c r="A163" s="3" t="n">
        <v>162</v>
      </c>
      <c r="B163" s="3" t="inlineStr">
        <is>
          <t>Arcane Trickery</t>
        </is>
      </c>
      <c r="C163" s="3" t="inlineStr">
        <is>
          <t>Arcanes</t>
        </is>
      </c>
      <c r="D163" s="4" t="n">
        <v>3</v>
      </c>
      <c r="E163" s="4" t="n">
        <v>3.2</v>
      </c>
      <c r="F163" s="3" t="n">
        <v>6</v>
      </c>
      <c r="G163" s="3" t="n">
        <v>34</v>
      </c>
      <c r="H163" s="3" t="n">
        <v>12</v>
      </c>
      <c r="I163" s="3" t="n">
        <v>8.710000000000001</v>
      </c>
      <c r="J163" s="3" t="n">
        <v>7</v>
      </c>
      <c r="K163" s="4" t="n">
        <v>3.2</v>
      </c>
      <c r="L163" s="3" t="n">
        <v>0</v>
      </c>
      <c r="M163" s="5">
        <f>IF(MAX($J$2:$J$189)&lt;=0,0,LOG10(J163+1)/LOG10(MAX($J$2:$J$189)+1)*100)*$Q$2+IF(MAX($K$2:$K$189)&lt;=0,0,LOG10(K163+1)/LOG10(MAX($K$2:$K$189)+1)*100)*$Q$3+IF(MAX($F$2:$F$189)&lt;=0,0,LOG10(F163+1)/LOG10(MAX($F$2:$F$189)+1)*100)*$Q$4</f>
        <v/>
      </c>
      <c r="N163" s="6" t="n">
        <v>0.11</v>
      </c>
      <c r="O163" s="7" t="inlineStr">
        <is>
          <t>brak (surowiec końcowy / nie jest komponentem)</t>
        </is>
      </c>
      <c r="P163" s="3" t="inlineStr">
        <is>
          <t>N/A (Overframe wyłączony w config.py)</t>
        </is>
      </c>
      <c r="Q163" s="3" t="inlineStr">
        <is>
          <t>Brak opisu w WFCD - sprawdź ręcznie: https://wiki.warframe.com/w/Arcane_Trickery</t>
        </is>
      </c>
      <c r="R163" s="3" t="inlineStr">
        <is>
          <t>2026-07-26 14:33</t>
        </is>
      </c>
    </row>
    <row r="164">
      <c r="A164" s="3" t="n">
        <v>163</v>
      </c>
      <c r="B164" s="3" t="inlineStr">
        <is>
          <t>Virtuos Tempo</t>
        </is>
      </c>
      <c r="C164" s="3" t="inlineStr">
        <is>
          <t>Arcanes</t>
        </is>
      </c>
      <c r="D164" s="4" t="n">
        <v>5</v>
      </c>
      <c r="E164" s="4" t="n">
        <v>22.8</v>
      </c>
      <c r="F164" s="3" t="n">
        <v>6</v>
      </c>
      <c r="G164" s="3" t="n">
        <v>26</v>
      </c>
      <c r="H164" s="3" t="n">
        <v>10</v>
      </c>
      <c r="I164" s="3" t="n">
        <v>4.46</v>
      </c>
      <c r="J164" s="3" t="n">
        <v>5</v>
      </c>
      <c r="K164" s="4" t="n">
        <v>22.8</v>
      </c>
      <c r="L164" s="3" t="n">
        <v>0</v>
      </c>
      <c r="M164" s="5">
        <f>IF(MAX($J$2:$J$189)&lt;=0,0,LOG10(J164+1)/LOG10(MAX($J$2:$J$189)+1)*100)*$Q$2+IF(MAX($K$2:$K$189)&lt;=0,0,LOG10(K164+1)/LOG10(MAX($K$2:$K$189)+1)*100)*$Q$3+IF(MAX($F$2:$F$189)&lt;=0,0,LOG10(F164+1)/LOG10(MAX($F$2:$F$189)+1)*100)*$Q$4</f>
        <v/>
      </c>
      <c r="N164" s="6" t="n">
        <v>3.26</v>
      </c>
      <c r="O164" s="7" t="inlineStr">
        <is>
          <t>brak (surowiec końcowy / nie jest komponentem)</t>
        </is>
      </c>
      <c r="P164" s="3" t="inlineStr">
        <is>
          <t>N/A (Overframe wyłączony w config.py)</t>
        </is>
      </c>
      <c r="Q164" s="3" t="inlineStr">
        <is>
          <t>Brak opisu w WFCD - sprawdź ręcznie: https://wiki.warframe.com/w/Virtuos_Tempo</t>
        </is>
      </c>
      <c r="R164" s="3" t="inlineStr">
        <is>
          <t>2026-07-26 14:33</t>
        </is>
      </c>
    </row>
    <row r="165">
      <c r="A165" s="3" t="n">
        <v>164</v>
      </c>
      <c r="B165" s="3" t="inlineStr">
        <is>
          <t>Magus Aggress</t>
        </is>
      </c>
      <c r="C165" s="3" t="inlineStr">
        <is>
          <t>Arcanes</t>
        </is>
      </c>
      <c r="D165" s="4" t="n">
        <v>3</v>
      </c>
      <c r="E165" s="4" t="n">
        <v>6.6</v>
      </c>
      <c r="F165" s="3" t="n">
        <v>6</v>
      </c>
      <c r="G165" s="3" t="n">
        <v>25</v>
      </c>
      <c r="H165" s="3" t="n">
        <v>11</v>
      </c>
      <c r="I165" s="3" t="n">
        <v>5.58</v>
      </c>
      <c r="J165" s="3" t="n">
        <v>6</v>
      </c>
      <c r="K165" s="4" t="n">
        <v>6.6</v>
      </c>
      <c r="L165" s="3" t="n">
        <v>0</v>
      </c>
      <c r="M165" s="5">
        <f>IF(MAX($J$2:$J$189)&lt;=0,0,LOG10(J165+1)/LOG10(MAX($J$2:$J$189)+1)*100)*$Q$2+IF(MAX($K$2:$K$189)&lt;=0,0,LOG10(K165+1)/LOG10(MAX($K$2:$K$189)+1)*100)*$Q$3+IF(MAX($F$2:$F$189)&lt;=0,0,LOG10(F165+1)/LOG10(MAX($F$2:$F$189)+1)*100)*$Q$4</f>
        <v/>
      </c>
      <c r="N165" s="6" t="n">
        <v>0.07000000000000001</v>
      </c>
      <c r="O165" s="7" t="inlineStr">
        <is>
          <t>brak (surowiec końcowy / nie jest komponentem)</t>
        </is>
      </c>
      <c r="P165" s="3" t="inlineStr">
        <is>
          <t>N/A (Overframe wyłączony w config.py)</t>
        </is>
      </c>
      <c r="Q165" s="3" t="inlineStr">
        <is>
          <t>Brak opisu w WFCD - sprawdź ręcznie: https://wiki.warframe.com/w/Magus_Aggress</t>
        </is>
      </c>
      <c r="R165" s="3" t="inlineStr">
        <is>
          <t>2026-07-26 14:33</t>
        </is>
      </c>
    </row>
    <row r="166">
      <c r="A166" s="3" t="n">
        <v>165</v>
      </c>
      <c r="B166" s="3" t="inlineStr">
        <is>
          <t>Arcane Eruption</t>
        </is>
      </c>
      <c r="C166" s="3" t="inlineStr">
        <is>
          <t>Arcanes</t>
        </is>
      </c>
      <c r="D166" s="4" t="n">
        <v>3</v>
      </c>
      <c r="E166" s="4" t="n">
        <v>6.8</v>
      </c>
      <c r="F166" s="3" t="n">
        <v>6</v>
      </c>
      <c r="G166" s="3" t="n">
        <v>24</v>
      </c>
      <c r="H166" s="3" t="n">
        <v>10</v>
      </c>
      <c r="I166" s="3" t="n">
        <v>6.13</v>
      </c>
      <c r="J166" s="3" t="n">
        <v>6</v>
      </c>
      <c r="K166" s="4" t="n">
        <v>6.8</v>
      </c>
      <c r="L166" s="3" t="n">
        <v>0</v>
      </c>
      <c r="M166" s="5">
        <f>IF(MAX($J$2:$J$189)&lt;=0,0,LOG10(J166+1)/LOG10(MAX($J$2:$J$189)+1)*100)*$Q$2+IF(MAX($K$2:$K$189)&lt;=0,0,LOG10(K166+1)/LOG10(MAX($K$2:$K$189)+1)*100)*$Q$3+IF(MAX($F$2:$F$189)&lt;=0,0,LOG10(F166+1)/LOG10(MAX($F$2:$F$189)+1)*100)*$Q$4</f>
        <v/>
      </c>
      <c r="N166" s="6" t="n">
        <v>0.1</v>
      </c>
      <c r="O166" s="7" t="inlineStr">
        <is>
          <t>brak (surowiec końcowy / nie jest komponentem)</t>
        </is>
      </c>
      <c r="P166" s="3" t="inlineStr">
        <is>
          <t>N/A (Overframe wyłączony w config.py)</t>
        </is>
      </c>
      <c r="Q166" s="3" t="inlineStr">
        <is>
          <t>Brak opisu w WFCD - sprawdź ręcznie: https://wiki.warframe.com/w/Arcane_Eruption</t>
        </is>
      </c>
      <c r="R166" s="3" t="inlineStr">
        <is>
          <t>2026-07-26 14:33</t>
        </is>
      </c>
    </row>
    <row r="167">
      <c r="A167" s="3" t="n">
        <v>166</v>
      </c>
      <c r="B167" s="3" t="inlineStr">
        <is>
          <t>Arcane Intention</t>
        </is>
      </c>
      <c r="C167" s="3" t="inlineStr">
        <is>
          <t>Arcanes</t>
        </is>
      </c>
      <c r="D167" s="4" t="n">
        <v>2</v>
      </c>
      <c r="E167" s="4" t="n">
        <v>3.2</v>
      </c>
      <c r="F167" s="3" t="n">
        <v>6</v>
      </c>
      <c r="G167" s="3" t="n">
        <v>24</v>
      </c>
      <c r="H167" s="3" t="n">
        <v>8</v>
      </c>
      <c r="I167" s="3" t="n">
        <v>4.91</v>
      </c>
      <c r="J167" s="3" t="n">
        <v>4</v>
      </c>
      <c r="K167" s="4" t="n">
        <v>3.2</v>
      </c>
      <c r="L167" s="3" t="n">
        <v>0</v>
      </c>
      <c r="M167" s="5">
        <f>IF(MAX($J$2:$J$189)&lt;=0,0,LOG10(J167+1)/LOG10(MAX($J$2:$J$189)+1)*100)*$Q$2+IF(MAX($K$2:$K$189)&lt;=0,0,LOG10(K167+1)/LOG10(MAX($K$2:$K$189)+1)*100)*$Q$3+IF(MAX($F$2:$F$189)&lt;=0,0,LOG10(F167+1)/LOG10(MAX($F$2:$F$189)+1)*100)*$Q$4</f>
        <v/>
      </c>
      <c r="N167" s="6" t="n">
        <v>0.03</v>
      </c>
      <c r="O167" s="7" t="inlineStr">
        <is>
          <t>brak (surowiec końcowy / nie jest komponentem)</t>
        </is>
      </c>
      <c r="P167" s="3" t="inlineStr">
        <is>
          <t>N/A (Overframe wyłączony w config.py)</t>
        </is>
      </c>
      <c r="Q167" s="3" t="inlineStr">
        <is>
          <t>Brak opisu w WFCD - sprawdź ręcznie: https://wiki.warframe.com/w/Arcane_Intention</t>
        </is>
      </c>
      <c r="R167" s="3" t="inlineStr">
        <is>
          <t>2026-07-26 14:33</t>
        </is>
      </c>
    </row>
    <row r="168">
      <c r="A168" s="3" t="n">
        <v>167</v>
      </c>
      <c r="B168" s="3" t="inlineStr">
        <is>
          <t>Arcane Consequence</t>
        </is>
      </c>
      <c r="C168" s="3" t="inlineStr">
        <is>
          <t>Arcanes</t>
        </is>
      </c>
      <c r="D168" s="4" t="n">
        <v>3</v>
      </c>
      <c r="E168" s="4" t="n">
        <v>3.4</v>
      </c>
      <c r="F168" s="3" t="n">
        <v>6</v>
      </c>
      <c r="G168" s="3" t="n">
        <v>23</v>
      </c>
      <c r="H168" s="3" t="n">
        <v>27</v>
      </c>
      <c r="I168" s="3" t="n">
        <v>8.34</v>
      </c>
      <c r="J168" s="3" t="n">
        <v>11</v>
      </c>
      <c r="K168" s="4" t="n">
        <v>3.4</v>
      </c>
      <c r="L168" s="3" t="n">
        <v>0</v>
      </c>
      <c r="M168" s="5">
        <f>IF(MAX($J$2:$J$189)&lt;=0,0,LOG10(J168+1)/LOG10(MAX($J$2:$J$189)+1)*100)*$Q$2+IF(MAX($K$2:$K$189)&lt;=0,0,LOG10(K168+1)/LOG10(MAX($K$2:$K$189)+1)*100)*$Q$3+IF(MAX($F$2:$F$189)&lt;=0,0,LOG10(F168+1)/LOG10(MAX($F$2:$F$189)+1)*100)*$Q$4</f>
        <v/>
      </c>
      <c r="N168" s="6" t="n">
        <v>0.07000000000000001</v>
      </c>
      <c r="O168" s="7" t="inlineStr">
        <is>
          <t>brak (surowiec końcowy / nie jest komponentem)</t>
        </is>
      </c>
      <c r="P168" s="3" t="inlineStr">
        <is>
          <t>N/A (Overframe wyłączony w config.py)</t>
        </is>
      </c>
      <c r="Q168" s="3" t="inlineStr">
        <is>
          <t>Brak opisu w WFCD - sprawdź ręcznie: https://wiki.warframe.com/w/Arcane_Consequence</t>
        </is>
      </c>
      <c r="R168" s="3" t="inlineStr">
        <is>
          <t>2026-07-26 14:33</t>
        </is>
      </c>
    </row>
    <row r="169">
      <c r="A169" s="3" t="n">
        <v>168</v>
      </c>
      <c r="B169" s="3" t="inlineStr">
        <is>
          <t>Arcane Healing</t>
        </is>
      </c>
      <c r="C169" s="3" t="inlineStr">
        <is>
          <t>Arcanes</t>
        </is>
      </c>
      <c r="D169" s="4" t="n">
        <v>3</v>
      </c>
      <c r="E169" s="4" t="n">
        <v>4.4</v>
      </c>
      <c r="F169" s="3" t="n">
        <v>6</v>
      </c>
      <c r="G169" s="3" t="n">
        <v>23</v>
      </c>
      <c r="H169" s="3" t="n">
        <v>0</v>
      </c>
      <c r="I169" s="3" t="n">
        <v>2.62</v>
      </c>
      <c r="J169" s="3" t="n">
        <v>3</v>
      </c>
      <c r="K169" s="4" t="n">
        <v>4.4</v>
      </c>
      <c r="L169" s="3" t="n">
        <v>0</v>
      </c>
      <c r="M169" s="5">
        <f>IF(MAX($J$2:$J$189)&lt;=0,0,LOG10(J169+1)/LOG10(MAX($J$2:$J$189)+1)*100)*$Q$2+IF(MAX($K$2:$K$189)&lt;=0,0,LOG10(K169+1)/LOG10(MAX($K$2:$K$189)+1)*100)*$Q$3+IF(MAX($F$2:$F$189)&lt;=0,0,LOG10(F169+1)/LOG10(MAX($F$2:$F$189)+1)*100)*$Q$4</f>
        <v/>
      </c>
      <c r="N169" s="6" t="n">
        <v>0.04</v>
      </c>
      <c r="O169" s="7" t="inlineStr">
        <is>
          <t>brak (surowiec końcowy / nie jest komponentem)</t>
        </is>
      </c>
      <c r="P169" s="3" t="inlineStr">
        <is>
          <t>N/A (Overframe wyłączony w config.py)</t>
        </is>
      </c>
      <c r="Q169" s="3" t="inlineStr">
        <is>
          <t>Brak opisu w WFCD - sprawdź ręcznie: https://wiki.warframe.com/w/Arcane_Healing</t>
        </is>
      </c>
      <c r="R169" s="3" t="inlineStr">
        <is>
          <t>2026-07-26 14:33</t>
        </is>
      </c>
    </row>
    <row r="170">
      <c r="A170" s="3" t="n">
        <v>169</v>
      </c>
      <c r="B170" s="3" t="inlineStr">
        <is>
          <t>Pax Bolt</t>
        </is>
      </c>
      <c r="C170" s="3" t="inlineStr">
        <is>
          <t>Arcanes</t>
        </is>
      </c>
      <c r="D170" s="4" t="n">
        <v>7</v>
      </c>
      <c r="E170" s="4" t="n">
        <v>25.2</v>
      </c>
      <c r="F170" s="3" t="n">
        <v>6</v>
      </c>
      <c r="G170" s="3" t="n">
        <v>16</v>
      </c>
      <c r="H170" s="3" t="n">
        <v>13</v>
      </c>
      <c r="I170" s="3" t="n">
        <v>2.57</v>
      </c>
      <c r="J170" s="3" t="n">
        <v>5</v>
      </c>
      <c r="K170" s="4" t="n">
        <v>25.2</v>
      </c>
      <c r="L170" s="3" t="n">
        <v>0</v>
      </c>
      <c r="M170" s="5">
        <f>IF(MAX($J$2:$J$189)&lt;=0,0,LOG10(J170+1)/LOG10(MAX($J$2:$J$189)+1)*100)*$Q$2+IF(MAX($K$2:$K$189)&lt;=0,0,LOG10(K170+1)/LOG10(MAX($K$2:$K$189)+1)*100)*$Q$3+IF(MAX($F$2:$F$189)&lt;=0,0,LOG10(F170+1)/LOG10(MAX($F$2:$F$189)+1)*100)*$Q$4</f>
        <v/>
      </c>
      <c r="N170" s="6" t="n"/>
      <c r="O170" s="7" t="inlineStr">
        <is>
          <t>brak (surowiec końcowy / nie jest komponentem)</t>
        </is>
      </c>
      <c r="P170" s="3" t="inlineStr">
        <is>
          <t>N/A (Overframe wyłączony w config.py)</t>
        </is>
      </c>
      <c r="Q170" s="3" t="inlineStr">
        <is>
          <t>Brak opisu w WFCD - sprawdź ręcznie: https://wiki.warframe.com/w/Pax_Bolt</t>
        </is>
      </c>
      <c r="R170" s="3" t="inlineStr">
        <is>
          <t>2026-07-26 14:33</t>
        </is>
      </c>
    </row>
    <row r="171">
      <c r="A171" s="3" t="n">
        <v>170</v>
      </c>
      <c r="B171" s="3" t="inlineStr">
        <is>
          <t>Cascadia Accuracy</t>
        </is>
      </c>
      <c r="C171" s="3" t="inlineStr">
        <is>
          <t>Arcanes</t>
        </is>
      </c>
      <c r="D171" s="4" t="n">
        <v>1</v>
      </c>
      <c r="E171" s="4" t="n">
        <v>2</v>
      </c>
      <c r="F171" s="3" t="n">
        <v>5</v>
      </c>
      <c r="G171" s="3" t="n">
        <v>40</v>
      </c>
      <c r="H171" s="3" t="n">
        <v>36</v>
      </c>
      <c r="I171" s="3" t="n">
        <v>4.63</v>
      </c>
      <c r="J171" s="3" t="n">
        <v>11</v>
      </c>
      <c r="K171" s="4" t="n">
        <v>2</v>
      </c>
      <c r="L171" s="3" t="n">
        <v>0</v>
      </c>
      <c r="M171" s="5">
        <f>IF(MAX($J$2:$J$189)&lt;=0,0,LOG10(J171+1)/LOG10(MAX($J$2:$J$189)+1)*100)*$Q$2+IF(MAX($K$2:$K$189)&lt;=0,0,LOG10(K171+1)/LOG10(MAX($K$2:$K$189)+1)*100)*$Q$3+IF(MAX($F$2:$F$189)&lt;=0,0,LOG10(F171+1)/LOG10(MAX($F$2:$F$189)+1)*100)*$Q$4</f>
        <v/>
      </c>
      <c r="N171" s="6" t="n">
        <v>0.29</v>
      </c>
      <c r="O171" s="7" t="inlineStr">
        <is>
          <t>brak (surowiec końcowy / nie jest komponentem)</t>
        </is>
      </c>
      <c r="P171" s="3" t="inlineStr">
        <is>
          <t>N/A (Overframe wyłączony w config.py)</t>
        </is>
      </c>
      <c r="Q171" s="3" t="inlineStr">
        <is>
          <t>Brak opisu w WFCD - sprawdź ręcznie: https://wiki.warframe.com/w/Cascadia_Accuracy</t>
        </is>
      </c>
      <c r="R171" s="3" t="inlineStr">
        <is>
          <t>2026-07-26 14:33</t>
        </is>
      </c>
    </row>
    <row r="172">
      <c r="A172" s="3" t="n">
        <v>171</v>
      </c>
      <c r="B172" s="3" t="inlineStr">
        <is>
          <t>Cascadia Empowered</t>
        </is>
      </c>
      <c r="C172" s="3" t="inlineStr">
        <is>
          <t>Arcanes</t>
        </is>
      </c>
      <c r="D172" s="4" t="n">
        <v>2</v>
      </c>
      <c r="E172" s="4" t="n">
        <v>2</v>
      </c>
      <c r="F172" s="3" t="n">
        <v>5</v>
      </c>
      <c r="G172" s="3" t="n">
        <v>37</v>
      </c>
      <c r="H172" s="3" t="n">
        <v>27</v>
      </c>
      <c r="I172" s="3" t="n">
        <v>10.59</v>
      </c>
      <c r="J172" s="3" t="n">
        <v>12</v>
      </c>
      <c r="K172" s="4" t="n">
        <v>2</v>
      </c>
      <c r="L172" s="3" t="n">
        <v>0</v>
      </c>
      <c r="M172" s="5">
        <f>IF(MAX($J$2:$J$189)&lt;=0,0,LOG10(J172+1)/LOG10(MAX($J$2:$J$189)+1)*100)*$Q$2+IF(MAX($K$2:$K$189)&lt;=0,0,LOG10(K172+1)/LOG10(MAX($K$2:$K$189)+1)*100)*$Q$3+IF(MAX($F$2:$F$189)&lt;=0,0,LOG10(F172+1)/LOG10(MAX($F$2:$F$189)+1)*100)*$Q$4</f>
        <v/>
      </c>
      <c r="N172" s="6" t="n">
        <v>0.29</v>
      </c>
      <c r="O172" s="7" t="inlineStr">
        <is>
          <t>brak (surowiec końcowy / nie jest komponentem)</t>
        </is>
      </c>
      <c r="P172" s="3" t="inlineStr">
        <is>
          <t>N/A (Overframe wyłączony w config.py)</t>
        </is>
      </c>
      <c r="Q172" s="3" t="inlineStr">
        <is>
          <t>Brak opisu w WFCD - sprawdź ręcznie: https://wiki.warframe.com/w/Cascadia_Empowered</t>
        </is>
      </c>
      <c r="R172" s="3" t="inlineStr">
        <is>
          <t>2026-07-26 14:33</t>
        </is>
      </c>
    </row>
    <row r="173">
      <c r="A173" s="3" t="n">
        <v>172</v>
      </c>
      <c r="B173" s="3" t="inlineStr">
        <is>
          <t>Arcane Momentum</t>
        </is>
      </c>
      <c r="C173" s="3" t="inlineStr">
        <is>
          <t>Arcanes</t>
        </is>
      </c>
      <c r="D173" s="4" t="n">
        <v>2</v>
      </c>
      <c r="E173" s="4" t="n">
        <v>2.4</v>
      </c>
      <c r="F173" s="3" t="n">
        <v>5</v>
      </c>
      <c r="G173" s="3" t="n">
        <v>30</v>
      </c>
      <c r="H173" s="3" t="n">
        <v>7</v>
      </c>
      <c r="I173" s="3" t="n">
        <v>4.72</v>
      </c>
      <c r="J173" s="3" t="n">
        <v>4</v>
      </c>
      <c r="K173" s="4" t="n">
        <v>2.4</v>
      </c>
      <c r="L173" s="3" t="n">
        <v>0</v>
      </c>
      <c r="M173" s="5">
        <f>IF(MAX($J$2:$J$189)&lt;=0,0,LOG10(J173+1)/LOG10(MAX($J$2:$J$189)+1)*100)*$Q$2+IF(MAX($K$2:$K$189)&lt;=0,0,LOG10(K173+1)/LOG10(MAX($K$2:$K$189)+1)*100)*$Q$3+IF(MAX($F$2:$F$189)&lt;=0,0,LOG10(F173+1)/LOG10(MAX($F$2:$F$189)+1)*100)*$Q$4</f>
        <v/>
      </c>
      <c r="N173" s="6" t="n">
        <v>0.05</v>
      </c>
      <c r="O173" s="7" t="inlineStr">
        <is>
          <t>brak (surowiec końcowy / nie jest komponentem)</t>
        </is>
      </c>
      <c r="P173" s="3" t="inlineStr">
        <is>
          <t>N/A (Overframe wyłączony w config.py)</t>
        </is>
      </c>
      <c r="Q173" s="3" t="inlineStr">
        <is>
          <t>Brak opisu w WFCD - sprawdź ręcznie: https://wiki.warframe.com/w/Arcane_Momentum</t>
        </is>
      </c>
      <c r="R173" s="3" t="inlineStr">
        <is>
          <t>2026-07-26 14:33</t>
        </is>
      </c>
    </row>
    <row r="174">
      <c r="A174" s="3" t="n">
        <v>173</v>
      </c>
      <c r="B174" s="3" t="inlineStr">
        <is>
          <t>Emergence Renewed</t>
        </is>
      </c>
      <c r="C174" s="3" t="inlineStr">
        <is>
          <t>Arcanes</t>
        </is>
      </c>
      <c r="D174" s="4" t="n">
        <v>2</v>
      </c>
      <c r="E174" s="4" t="n">
        <v>3.8</v>
      </c>
      <c r="F174" s="3" t="n">
        <v>5</v>
      </c>
      <c r="G174" s="3" t="n">
        <v>24</v>
      </c>
      <c r="H174" s="3" t="n">
        <v>21</v>
      </c>
      <c r="I174" s="3" t="n">
        <v>9.130000000000001</v>
      </c>
      <c r="J174" s="3" t="n">
        <v>10</v>
      </c>
      <c r="K174" s="4" t="n">
        <v>3.8</v>
      </c>
      <c r="L174" s="3" t="n">
        <v>0</v>
      </c>
      <c r="M174" s="5">
        <f>IF(MAX($J$2:$J$189)&lt;=0,0,LOG10(J174+1)/LOG10(MAX($J$2:$J$189)+1)*100)*$Q$2+IF(MAX($K$2:$K$189)&lt;=0,0,LOG10(K174+1)/LOG10(MAX($K$2:$K$189)+1)*100)*$Q$3+IF(MAX($F$2:$F$189)&lt;=0,0,LOG10(F174+1)/LOG10(MAX($F$2:$F$189)+1)*100)*$Q$4</f>
        <v/>
      </c>
      <c r="N174" s="6" t="n">
        <v>0.54</v>
      </c>
      <c r="O174" s="7" t="inlineStr">
        <is>
          <t>brak (surowiec końcowy / nie jest komponentem)</t>
        </is>
      </c>
      <c r="P174" s="3" t="inlineStr">
        <is>
          <t>N/A (Overframe wyłączony w config.py)</t>
        </is>
      </c>
      <c r="Q174" s="3" t="inlineStr">
        <is>
          <t>Brak opisu w WFCD - sprawdź ręcznie: https://wiki.warframe.com/w/Emergence_Renewed</t>
        </is>
      </c>
      <c r="R174" s="3" t="inlineStr">
        <is>
          <t>2026-07-26 14:33</t>
        </is>
      </c>
    </row>
    <row r="175">
      <c r="A175" s="3" t="n">
        <v>174</v>
      </c>
      <c r="B175" s="3" t="inlineStr">
        <is>
          <t>Arcane Ice</t>
        </is>
      </c>
      <c r="C175" s="3" t="inlineStr">
        <is>
          <t>Arcanes</t>
        </is>
      </c>
      <c r="D175" s="4" t="n">
        <v>2</v>
      </c>
      <c r="E175" s="4" t="n">
        <v>14</v>
      </c>
      <c r="F175" s="3" t="n">
        <v>5</v>
      </c>
      <c r="G175" s="3" t="n">
        <v>17</v>
      </c>
      <c r="H175" s="3" t="n">
        <v>29</v>
      </c>
      <c r="I175" s="3" t="n">
        <v>4.86</v>
      </c>
      <c r="J175" s="3" t="n">
        <v>10</v>
      </c>
      <c r="K175" s="4" t="n">
        <v>14</v>
      </c>
      <c r="L175" s="3" t="n">
        <v>0</v>
      </c>
      <c r="M175" s="5">
        <f>IF(MAX($J$2:$J$189)&lt;=0,0,LOG10(J175+1)/LOG10(MAX($J$2:$J$189)+1)*100)*$Q$2+IF(MAX($K$2:$K$189)&lt;=0,0,LOG10(K175+1)/LOG10(MAX($K$2:$K$189)+1)*100)*$Q$3+IF(MAX($F$2:$F$189)&lt;=0,0,LOG10(F175+1)/LOG10(MAX($F$2:$F$189)+1)*100)*$Q$4</f>
        <v/>
      </c>
      <c r="N175" s="6" t="n">
        <v>0.28</v>
      </c>
      <c r="O175" s="7" t="inlineStr">
        <is>
          <t>brak (surowiec końcowy / nie jest komponentem)</t>
        </is>
      </c>
      <c r="P175" s="3" t="inlineStr">
        <is>
          <t>N/A (Overframe wyłączony w config.py)</t>
        </is>
      </c>
      <c r="Q175" s="3" t="inlineStr">
        <is>
          <t>Brak opisu w WFCD - sprawdź ręcznie: https://wiki.warframe.com/w/Arcane_Ice</t>
        </is>
      </c>
      <c r="R175" s="3" t="inlineStr">
        <is>
          <t>2026-07-26 14:33</t>
        </is>
      </c>
    </row>
    <row r="176">
      <c r="A176" s="3" t="n">
        <v>175</v>
      </c>
      <c r="B176" s="3" t="inlineStr">
        <is>
          <t>Arcane Deflection</t>
        </is>
      </c>
      <c r="C176" s="3" t="inlineStr">
        <is>
          <t>Arcanes</t>
        </is>
      </c>
      <c r="D176" s="4" t="n">
        <v>3</v>
      </c>
      <c r="E176" s="4" t="n">
        <v>8.6</v>
      </c>
      <c r="F176" s="3" t="n">
        <v>5</v>
      </c>
      <c r="G176" s="3" t="n">
        <v>17</v>
      </c>
      <c r="H176" s="3" t="n">
        <v>5</v>
      </c>
      <c r="I176" s="3" t="n">
        <v>2.72</v>
      </c>
      <c r="J176" s="3" t="n">
        <v>3</v>
      </c>
      <c r="K176" s="4" t="n">
        <v>8.6</v>
      </c>
      <c r="L176" s="3" t="n">
        <v>0</v>
      </c>
      <c r="M176" s="5">
        <f>IF(MAX($J$2:$J$189)&lt;=0,0,LOG10(J176+1)/LOG10(MAX($J$2:$J$189)+1)*100)*$Q$2+IF(MAX($K$2:$K$189)&lt;=0,0,LOG10(K176+1)/LOG10(MAX($K$2:$K$189)+1)*100)*$Q$3+IF(MAX($F$2:$F$189)&lt;=0,0,LOG10(F176+1)/LOG10(MAX($F$2:$F$189)+1)*100)*$Q$4</f>
        <v/>
      </c>
      <c r="N176" s="6" t="n">
        <v>0.09</v>
      </c>
      <c r="O176" s="7" t="inlineStr">
        <is>
          <t>brak (surowiec końcowy / nie jest komponentem)</t>
        </is>
      </c>
      <c r="P176" s="3" t="inlineStr">
        <is>
          <t>N/A (Overframe wyłączony w config.py)</t>
        </is>
      </c>
      <c r="Q176" s="3" t="inlineStr">
        <is>
          <t>Brak opisu w WFCD - sprawdź ręcznie: https://wiki.warframe.com/w/Arcane_Deflection</t>
        </is>
      </c>
      <c r="R176" s="3" t="inlineStr">
        <is>
          <t>2026-07-26 14:33</t>
        </is>
      </c>
    </row>
    <row r="177">
      <c r="A177" s="3" t="n">
        <v>176</v>
      </c>
      <c r="B177" s="3" t="inlineStr">
        <is>
          <t>Residual Boils</t>
        </is>
      </c>
      <c r="C177" s="3" t="inlineStr">
        <is>
          <t>Arcanes</t>
        </is>
      </c>
      <c r="D177" s="4" t="n">
        <v>3</v>
      </c>
      <c r="E177" s="4" t="n">
        <v>6.2</v>
      </c>
      <c r="F177" s="3" t="n">
        <v>5</v>
      </c>
      <c r="G177" s="3" t="n">
        <v>14</v>
      </c>
      <c r="H177" s="3" t="n">
        <v>6</v>
      </c>
      <c r="I177" s="3" t="n">
        <v>3.18</v>
      </c>
      <c r="J177" s="3" t="n">
        <v>3</v>
      </c>
      <c r="K177" s="4" t="n">
        <v>6.2</v>
      </c>
      <c r="L177" s="3" t="n">
        <v>0</v>
      </c>
      <c r="M177" s="5">
        <f>IF(MAX($J$2:$J$189)&lt;=0,0,LOG10(J177+1)/LOG10(MAX($J$2:$J$189)+1)*100)*$Q$2+IF(MAX($K$2:$K$189)&lt;=0,0,LOG10(K177+1)/LOG10(MAX($K$2:$K$189)+1)*100)*$Q$3+IF(MAX($F$2:$F$189)&lt;=0,0,LOG10(F177+1)/LOG10(MAX($F$2:$F$189)+1)*100)*$Q$4</f>
        <v/>
      </c>
      <c r="N177" s="6" t="n">
        <v>0.31</v>
      </c>
      <c r="O177" s="7" t="inlineStr">
        <is>
          <t>brak (surowiec końcowy / nie jest komponentem)</t>
        </is>
      </c>
      <c r="P177" s="3" t="inlineStr">
        <is>
          <t>N/A (Overframe wyłączony w config.py)</t>
        </is>
      </c>
      <c r="Q177" s="3" t="inlineStr">
        <is>
          <t>Brak opisu w WFCD - sprawdź ręcznie: https://wiki.warframe.com/w/Residual_Boils</t>
        </is>
      </c>
      <c r="R177" s="3" t="inlineStr">
        <is>
          <t>2026-07-26 14:33</t>
        </is>
      </c>
    </row>
    <row r="178">
      <c r="A178" s="3" t="n">
        <v>177</v>
      </c>
      <c r="B178" s="3" t="inlineStr">
        <is>
          <t>Virtuos Spike</t>
        </is>
      </c>
      <c r="C178" s="3" t="inlineStr">
        <is>
          <t>Arcanes</t>
        </is>
      </c>
      <c r="D178" s="4" t="n">
        <v>9</v>
      </c>
      <c r="E178" s="4" t="n">
        <v>26.8</v>
      </c>
      <c r="F178" s="3" t="n">
        <v>5</v>
      </c>
      <c r="G178" s="3" t="n">
        <v>12</v>
      </c>
      <c r="H178" s="3" t="n">
        <v>1</v>
      </c>
      <c r="I178" s="3" t="n">
        <v>1.86</v>
      </c>
      <c r="J178" s="3" t="n">
        <v>1</v>
      </c>
      <c r="K178" s="4" t="n">
        <v>26.8</v>
      </c>
      <c r="L178" s="3" t="n">
        <v>0</v>
      </c>
      <c r="M178" s="5">
        <f>IF(MAX($J$2:$J$189)&lt;=0,0,LOG10(J178+1)/LOG10(MAX($J$2:$J$189)+1)*100)*$Q$2+IF(MAX($K$2:$K$189)&lt;=0,0,LOG10(K178+1)/LOG10(MAX($K$2:$K$189)+1)*100)*$Q$3+IF(MAX($F$2:$F$189)&lt;=0,0,LOG10(F178+1)/LOG10(MAX($F$2:$F$189)+1)*100)*$Q$4</f>
        <v/>
      </c>
      <c r="N178" s="6" t="n">
        <v>3.83</v>
      </c>
      <c r="O178" s="7" t="inlineStr">
        <is>
          <t>brak (surowiec końcowy / nie jest komponentem)</t>
        </is>
      </c>
      <c r="P178" s="3" t="inlineStr">
        <is>
          <t>N/A (Overframe wyłączony w config.py)</t>
        </is>
      </c>
      <c r="Q178" s="3" t="inlineStr">
        <is>
          <t>Brak opisu w WFCD - sprawdź ręcznie: https://wiki.warframe.com/w/Virtuos_Spike</t>
        </is>
      </c>
      <c r="R178" s="3" t="inlineStr">
        <is>
          <t>2026-07-26 14:33</t>
        </is>
      </c>
    </row>
    <row r="179">
      <c r="A179" s="3" t="n">
        <v>178</v>
      </c>
      <c r="B179" s="3" t="inlineStr">
        <is>
          <t>Arcane Phantasm</t>
        </is>
      </c>
      <c r="C179" s="3" t="inlineStr">
        <is>
          <t>Arcanes</t>
        </is>
      </c>
      <c r="D179" s="4" t="n">
        <v>2</v>
      </c>
      <c r="E179" s="4" t="n">
        <v>4.8</v>
      </c>
      <c r="F179" s="3" t="n">
        <v>4</v>
      </c>
      <c r="G179" s="3" t="n">
        <v>27</v>
      </c>
      <c r="H179" s="3" t="n">
        <v>19</v>
      </c>
      <c r="I179" s="3" t="n">
        <v>5.5</v>
      </c>
      <c r="J179" s="3" t="n">
        <v>8</v>
      </c>
      <c r="K179" s="4" t="n">
        <v>4.8</v>
      </c>
      <c r="L179" s="3" t="n">
        <v>0</v>
      </c>
      <c r="M179" s="5">
        <f>IF(MAX($J$2:$J$189)&lt;=0,0,LOG10(J179+1)/LOG10(MAX($J$2:$J$189)+1)*100)*$Q$2+IF(MAX($K$2:$K$189)&lt;=0,0,LOG10(K179+1)/LOG10(MAX($K$2:$K$189)+1)*100)*$Q$3+IF(MAX($F$2:$F$189)&lt;=0,0,LOG10(F179+1)/LOG10(MAX($F$2:$F$189)+1)*100)*$Q$4</f>
        <v/>
      </c>
      <c r="N179" s="6" t="n">
        <v>0.07000000000000001</v>
      </c>
      <c r="O179" s="7" t="inlineStr">
        <is>
          <t>brak (surowiec końcowy / nie jest komponentem)</t>
        </is>
      </c>
      <c r="P179" s="3" t="inlineStr">
        <is>
          <t>N/A (Overframe wyłączony w config.py)</t>
        </is>
      </c>
      <c r="Q179" s="3" t="inlineStr">
        <is>
          <t>Brak opisu w WFCD - sprawdź ręcznie: https://wiki.warframe.com/w/Arcane_Phantasm</t>
        </is>
      </c>
      <c r="R179" s="3" t="inlineStr">
        <is>
          <t>2026-07-26 14:33</t>
        </is>
      </c>
    </row>
    <row r="180">
      <c r="A180" s="3" t="n">
        <v>179</v>
      </c>
      <c r="B180" s="3" t="inlineStr">
        <is>
          <t>Fractalized Reset</t>
        </is>
      </c>
      <c r="C180" s="3" t="inlineStr">
        <is>
          <t>Arcanes</t>
        </is>
      </c>
      <c r="D180" s="4" t="n">
        <v>3</v>
      </c>
      <c r="E180" s="4" t="n">
        <v>11.8</v>
      </c>
      <c r="F180" s="3" t="n">
        <v>4</v>
      </c>
      <c r="G180" s="3" t="n">
        <v>24</v>
      </c>
      <c r="H180" s="3" t="n">
        <v>23</v>
      </c>
      <c r="I180" s="3" t="n">
        <v>7.4</v>
      </c>
      <c r="J180" s="3" t="n">
        <v>9</v>
      </c>
      <c r="K180" s="4" t="n">
        <v>11.8</v>
      </c>
      <c r="L180" s="3" t="n">
        <v>0</v>
      </c>
      <c r="M180" s="5">
        <f>IF(MAX($J$2:$J$189)&lt;=0,0,LOG10(J180+1)/LOG10(MAX($J$2:$J$189)+1)*100)*$Q$2+IF(MAX($K$2:$K$189)&lt;=0,0,LOG10(K180+1)/LOG10(MAX($K$2:$K$189)+1)*100)*$Q$3+IF(MAX($F$2:$F$189)&lt;=0,0,LOG10(F180+1)/LOG10(MAX($F$2:$F$189)+1)*100)*$Q$4</f>
        <v/>
      </c>
      <c r="N180" s="6" t="n">
        <v>1.69</v>
      </c>
      <c r="O180" s="7" t="inlineStr">
        <is>
          <t>brak (surowiec końcowy / nie jest komponentem)</t>
        </is>
      </c>
      <c r="P180" s="3" t="inlineStr">
        <is>
          <t>N/A (Overframe wyłączony w config.py)</t>
        </is>
      </c>
      <c r="Q180" s="3" t="inlineStr">
        <is>
          <t>Brak opisu w WFCD - sprawdź ręcznie: https://wiki.warframe.com/w/Fractalized_Reset</t>
        </is>
      </c>
      <c r="R180" s="3" t="inlineStr">
        <is>
          <t>2026-07-26 14:33</t>
        </is>
      </c>
    </row>
    <row r="181">
      <c r="A181" s="3" t="n">
        <v>180</v>
      </c>
      <c r="B181" s="3" t="inlineStr">
        <is>
          <t>Exodia Epidemic</t>
        </is>
      </c>
      <c r="C181" s="3" t="inlineStr">
        <is>
          <t>Arcanes</t>
        </is>
      </c>
      <c r="D181" s="4" t="n">
        <v>9</v>
      </c>
      <c r="E181" s="4" t="n">
        <v>25.8</v>
      </c>
      <c r="F181" s="3" t="n">
        <v>4</v>
      </c>
      <c r="G181" s="3" t="n">
        <v>15</v>
      </c>
      <c r="H181" s="3" t="n">
        <v>10</v>
      </c>
      <c r="I181" s="3" t="n">
        <v>2.59</v>
      </c>
      <c r="J181" s="3" t="n">
        <v>4</v>
      </c>
      <c r="K181" s="4" t="n">
        <v>25.8</v>
      </c>
      <c r="L181" s="3" t="n">
        <v>0</v>
      </c>
      <c r="M181" s="5">
        <f>IF(MAX($J$2:$J$189)&lt;=0,0,LOG10(J181+1)/LOG10(MAX($J$2:$J$189)+1)*100)*$Q$2+IF(MAX($K$2:$K$189)&lt;=0,0,LOG10(K181+1)/LOG10(MAX($K$2:$K$189)+1)*100)*$Q$3+IF(MAX($F$2:$F$189)&lt;=0,0,LOG10(F181+1)/LOG10(MAX($F$2:$F$189)+1)*100)*$Q$4</f>
        <v/>
      </c>
      <c r="N181" s="6" t="n">
        <v>3.69</v>
      </c>
      <c r="O181" s="7" t="inlineStr">
        <is>
          <t>brak (surowiec końcowy / nie jest komponentem)</t>
        </is>
      </c>
      <c r="P181" s="3" t="inlineStr">
        <is>
          <t>N/A (Overframe wyłączony w config.py)</t>
        </is>
      </c>
      <c r="Q181" s="3" t="inlineStr">
        <is>
          <t>Brak opisu w WFCD - sprawdź ręcznie: https://wiki.warframe.com/w/Exodia_Epidemic</t>
        </is>
      </c>
      <c r="R181" s="3" t="inlineStr">
        <is>
          <t>2026-07-26 14:33</t>
        </is>
      </c>
    </row>
    <row r="182">
      <c r="A182" s="3" t="n">
        <v>181</v>
      </c>
      <c r="B182" s="3" t="inlineStr">
        <is>
          <t>Residual Malodor</t>
        </is>
      </c>
      <c r="C182" s="3" t="inlineStr">
        <is>
          <t>Arcanes</t>
        </is>
      </c>
      <c r="D182" s="4" t="n">
        <v>2</v>
      </c>
      <c r="E182" s="4" t="n">
        <v>6.6</v>
      </c>
      <c r="F182" s="3" t="n">
        <v>4</v>
      </c>
      <c r="G182" s="3" t="n">
        <v>15</v>
      </c>
      <c r="H182" s="3" t="n">
        <v>3</v>
      </c>
      <c r="I182" s="3" t="n">
        <v>2.53</v>
      </c>
      <c r="J182" s="3" t="n">
        <v>2</v>
      </c>
      <c r="K182" s="4" t="n">
        <v>6.6</v>
      </c>
      <c r="L182" s="3" t="n">
        <v>0</v>
      </c>
      <c r="M182" s="5">
        <f>IF(MAX($J$2:$J$189)&lt;=0,0,LOG10(J182+1)/LOG10(MAX($J$2:$J$189)+1)*100)*$Q$2+IF(MAX($K$2:$K$189)&lt;=0,0,LOG10(K182+1)/LOG10(MAX($K$2:$K$189)+1)*100)*$Q$3+IF(MAX($F$2:$F$189)&lt;=0,0,LOG10(F182+1)/LOG10(MAX($F$2:$F$189)+1)*100)*$Q$4</f>
        <v/>
      </c>
      <c r="N182" s="6" t="n">
        <v>0.33</v>
      </c>
      <c r="O182" s="7" t="inlineStr">
        <is>
          <t>brak (surowiec końcowy / nie jest komponentem)</t>
        </is>
      </c>
      <c r="P182" s="3" t="inlineStr">
        <is>
          <t>N/A (Overframe wyłączony w config.py)</t>
        </is>
      </c>
      <c r="Q182" s="3" t="inlineStr">
        <is>
          <t>Brak opisu w WFCD - sprawdź ręcznie: https://wiki.warframe.com/w/Residual_Malodor</t>
        </is>
      </c>
      <c r="R182" s="3" t="inlineStr">
        <is>
          <t>2026-07-26 14:33</t>
        </is>
      </c>
    </row>
    <row r="183">
      <c r="A183" s="3" t="n">
        <v>182</v>
      </c>
      <c r="B183" s="3" t="inlineStr">
        <is>
          <t>Virtuos Fury</t>
        </is>
      </c>
      <c r="C183" s="3" t="inlineStr">
        <is>
          <t>Arcanes</t>
        </is>
      </c>
      <c r="D183" s="4" t="n">
        <v>10</v>
      </c>
      <c r="E183" s="4" t="n">
        <v>31</v>
      </c>
      <c r="F183" s="3" t="n">
        <v>4</v>
      </c>
      <c r="G183" s="3" t="n">
        <v>14</v>
      </c>
      <c r="H183" s="3" t="n">
        <v>0</v>
      </c>
      <c r="I183" s="3" t="n">
        <v>1.88</v>
      </c>
      <c r="J183" s="3" t="n">
        <v>2</v>
      </c>
      <c r="K183" s="4" t="n">
        <v>31</v>
      </c>
      <c r="L183" s="3" t="n">
        <v>0</v>
      </c>
      <c r="M183" s="5">
        <f>IF(MAX($J$2:$J$189)&lt;=0,0,LOG10(J183+1)/LOG10(MAX($J$2:$J$189)+1)*100)*$Q$2+IF(MAX($K$2:$K$189)&lt;=0,0,LOG10(K183+1)/LOG10(MAX($K$2:$K$189)+1)*100)*$Q$3+IF(MAX($F$2:$F$189)&lt;=0,0,LOG10(F183+1)/LOG10(MAX($F$2:$F$189)+1)*100)*$Q$4</f>
        <v/>
      </c>
      <c r="N183" s="6" t="n">
        <v>4.43</v>
      </c>
      <c r="O183" s="7" t="inlineStr">
        <is>
          <t>brak (surowiec końcowy / nie jest komponentem)</t>
        </is>
      </c>
      <c r="P183" s="3" t="inlineStr">
        <is>
          <t>N/A (Overframe wyłączony w config.py)</t>
        </is>
      </c>
      <c r="Q183" s="3" t="inlineStr">
        <is>
          <t>Brak opisu w WFCD - sprawdź ręcznie: https://wiki.warframe.com/w/Virtuos_Fury</t>
        </is>
      </c>
      <c r="R183" s="3" t="inlineStr">
        <is>
          <t>2026-07-26 14:33</t>
        </is>
      </c>
    </row>
    <row r="184">
      <c r="A184" s="3" t="n">
        <v>183</v>
      </c>
      <c r="B184" s="3" t="inlineStr">
        <is>
          <t>Magus Vigor</t>
        </is>
      </c>
      <c r="C184" s="3" t="inlineStr">
        <is>
          <t>Arcanes</t>
        </is>
      </c>
      <c r="D184" s="4" t="n">
        <v>25</v>
      </c>
      <c r="E184" s="4" t="n">
        <v>38.6</v>
      </c>
      <c r="F184" s="3" t="n">
        <v>4</v>
      </c>
      <c r="G184" s="3" t="n">
        <v>11</v>
      </c>
      <c r="H184" s="3" t="n">
        <v>19</v>
      </c>
      <c r="I184" s="3" t="n">
        <v>4.55</v>
      </c>
      <c r="J184" s="3" t="n">
        <v>7</v>
      </c>
      <c r="K184" s="4" t="n">
        <v>38.6</v>
      </c>
      <c r="L184" s="3" t="n">
        <v>0</v>
      </c>
      <c r="M184" s="5">
        <f>IF(MAX($J$2:$J$189)&lt;=0,0,LOG10(J184+1)/LOG10(MAX($J$2:$J$189)+1)*100)*$Q$2+IF(MAX($K$2:$K$189)&lt;=0,0,LOG10(K184+1)/LOG10(MAX($K$2:$K$189)+1)*100)*$Q$3+IF(MAX($F$2:$F$189)&lt;=0,0,LOG10(F184+1)/LOG10(MAX($F$2:$F$189)+1)*100)*$Q$4</f>
        <v/>
      </c>
      <c r="N184" s="6" t="n">
        <v>5.51</v>
      </c>
      <c r="O184" s="7" t="inlineStr">
        <is>
          <t>brak (surowiec końcowy / nie jest komponentem)</t>
        </is>
      </c>
      <c r="P184" s="3" t="inlineStr">
        <is>
          <t>N/A (Overframe wyłączony w config.py)</t>
        </is>
      </c>
      <c r="Q184" s="3" t="inlineStr">
        <is>
          <t>Brak opisu w WFCD - sprawdź ręcznie: https://wiki.warframe.com/w/Magus_Vigor</t>
        </is>
      </c>
      <c r="R184" s="3" t="inlineStr">
        <is>
          <t>2026-07-26 14:33</t>
        </is>
      </c>
    </row>
    <row r="185">
      <c r="A185" s="3" t="n">
        <v>184</v>
      </c>
      <c r="B185" s="3" t="inlineStr">
        <is>
          <t>Virtuos Shadow</t>
        </is>
      </c>
      <c r="C185" s="3" t="inlineStr">
        <is>
          <t>Arcanes</t>
        </is>
      </c>
      <c r="D185" s="4" t="n">
        <v>8</v>
      </c>
      <c r="E185" s="4" t="n">
        <v>45</v>
      </c>
      <c r="F185" s="3" t="n">
        <v>4</v>
      </c>
      <c r="G185" s="3" t="n">
        <v>10</v>
      </c>
      <c r="H185" s="3" t="n">
        <v>12</v>
      </c>
      <c r="I185" s="3" t="n">
        <v>3.83</v>
      </c>
      <c r="J185" s="3" t="n">
        <v>5</v>
      </c>
      <c r="K185" s="4" t="n">
        <v>45</v>
      </c>
      <c r="L185" s="3" t="n">
        <v>0</v>
      </c>
      <c r="M185" s="5">
        <f>IF(MAX($J$2:$J$189)&lt;=0,0,LOG10(J185+1)/LOG10(MAX($J$2:$J$189)+1)*100)*$Q$2+IF(MAX($K$2:$K$189)&lt;=0,0,LOG10(K185+1)/LOG10(MAX($K$2:$K$189)+1)*100)*$Q$3+IF(MAX($F$2:$F$189)&lt;=0,0,LOG10(F185+1)/LOG10(MAX($F$2:$F$189)+1)*100)*$Q$4</f>
        <v/>
      </c>
      <c r="N185" s="6" t="n">
        <v>6.43</v>
      </c>
      <c r="O185" s="7" t="inlineStr">
        <is>
          <t>brak (surowiec końcowy / nie jest komponentem)</t>
        </is>
      </c>
      <c r="P185" s="3" t="inlineStr">
        <is>
          <t>N/A (Overframe wyłączony w config.py)</t>
        </is>
      </c>
      <c r="Q185" s="3" t="inlineStr">
        <is>
          <t>Brak opisu w WFCD - sprawdź ręcznie: https://wiki.warframe.com/w/Virtuos_Shadow</t>
        </is>
      </c>
      <c r="R185" s="3" t="inlineStr">
        <is>
          <t>2026-07-26 14:33</t>
        </is>
      </c>
    </row>
    <row r="186">
      <c r="A186" s="3" t="n">
        <v>185</v>
      </c>
      <c r="B186" s="3" t="inlineStr">
        <is>
          <t>Pax Soar</t>
        </is>
      </c>
      <c r="C186" s="3" t="inlineStr">
        <is>
          <t>Arcanes</t>
        </is>
      </c>
      <c r="D186" s="4" t="n">
        <v>9</v>
      </c>
      <c r="E186" s="4" t="n">
        <v>54.6</v>
      </c>
      <c r="F186" s="3" t="n">
        <v>4</v>
      </c>
      <c r="G186" s="3" t="n">
        <v>9</v>
      </c>
      <c r="H186" s="3" t="n">
        <v>7</v>
      </c>
      <c r="I186" s="3" t="n">
        <v>1.56</v>
      </c>
      <c r="J186" s="3" t="n">
        <v>3</v>
      </c>
      <c r="K186" s="4" t="n">
        <v>54.6</v>
      </c>
      <c r="L186" s="3" t="n">
        <v>0</v>
      </c>
      <c r="M186" s="5">
        <f>IF(MAX($J$2:$J$189)&lt;=0,0,LOG10(J186+1)/LOG10(MAX($J$2:$J$189)+1)*100)*$Q$2+IF(MAX($K$2:$K$189)&lt;=0,0,LOG10(K186+1)/LOG10(MAX($K$2:$K$189)+1)*100)*$Q$3+IF(MAX($F$2:$F$189)&lt;=0,0,LOG10(F186+1)/LOG10(MAX($F$2:$F$189)+1)*100)*$Q$4</f>
        <v/>
      </c>
      <c r="N186" s="6" t="n"/>
      <c r="O186" s="7" t="inlineStr">
        <is>
          <t>brak (surowiec końcowy / nie jest komponentem)</t>
        </is>
      </c>
      <c r="P186" s="3" t="inlineStr">
        <is>
          <t>N/A (Overframe wyłączony w config.py)</t>
        </is>
      </c>
      <c r="Q186" s="3" t="inlineStr">
        <is>
          <t>Brak opisu w WFCD - sprawdź ręcznie: https://wiki.warframe.com/w/Pax_Soar</t>
        </is>
      </c>
      <c r="R186" s="3" t="inlineStr">
        <is>
          <t>2026-07-26 14:33</t>
        </is>
      </c>
    </row>
    <row r="187">
      <c r="A187" s="3" t="n">
        <v>186</v>
      </c>
      <c r="B187" s="3" t="inlineStr">
        <is>
          <t>Melee Fortification</t>
        </is>
      </c>
      <c r="C187" s="3" t="inlineStr">
        <is>
          <t>Arcanes</t>
        </is>
      </c>
      <c r="D187" s="4" t="n">
        <v>2</v>
      </c>
      <c r="E187" s="4" t="n">
        <v>2</v>
      </c>
      <c r="F187" s="3" t="n">
        <v>3</v>
      </c>
      <c r="G187" s="3" t="n">
        <v>49</v>
      </c>
      <c r="H187" s="3" t="n">
        <v>75</v>
      </c>
      <c r="I187" s="3" t="n">
        <v>11.77</v>
      </c>
      <c r="J187" s="3" t="n">
        <v>25</v>
      </c>
      <c r="K187" s="4" t="n">
        <v>2</v>
      </c>
      <c r="L187" s="3" t="n">
        <v>0</v>
      </c>
      <c r="M187" s="5">
        <f>IF(MAX($J$2:$J$189)&lt;=0,0,LOG10(J187+1)/LOG10(MAX($J$2:$J$189)+1)*100)*$Q$2+IF(MAX($K$2:$K$189)&lt;=0,0,LOG10(K187+1)/LOG10(MAX($K$2:$K$189)+1)*100)*$Q$3+IF(MAX($F$2:$F$189)&lt;=0,0,LOG10(F187+1)/LOG10(MAX($F$2:$F$189)+1)*100)*$Q$4</f>
        <v/>
      </c>
      <c r="N187" s="6" t="n">
        <v>0.04</v>
      </c>
      <c r="O187" s="7" t="inlineStr">
        <is>
          <t>brak (surowiec końcowy / nie jest komponentem)</t>
        </is>
      </c>
      <c r="P187" s="3" t="inlineStr">
        <is>
          <t>N/A (Overframe wyłączony w config.py)</t>
        </is>
      </c>
      <c r="Q187" s="3" t="inlineStr">
        <is>
          <t>Brak opisu w WFCD - sprawdź ręcznie: https://wiki.warframe.com/w/Melee_Fortification</t>
        </is>
      </c>
      <c r="R187" s="3" t="inlineStr">
        <is>
          <t>2026-07-26 14:33</t>
        </is>
      </c>
    </row>
    <row r="188">
      <c r="A188" s="3" t="n">
        <v>187</v>
      </c>
      <c r="B188" s="3" t="inlineStr">
        <is>
          <t>Virtuos Surge</t>
        </is>
      </c>
      <c r="C188" s="3" t="inlineStr">
        <is>
          <t>Arcanes</t>
        </is>
      </c>
      <c r="D188" s="4" t="n">
        <v>8</v>
      </c>
      <c r="E188" s="4" t="n">
        <v>12.6</v>
      </c>
      <c r="F188" s="3" t="n">
        <v>3</v>
      </c>
      <c r="G188" s="3" t="n">
        <v>19</v>
      </c>
      <c r="H188" s="3" t="n">
        <v>3</v>
      </c>
      <c r="I188" s="3" t="n">
        <v>2.31</v>
      </c>
      <c r="J188" s="3" t="n">
        <v>2</v>
      </c>
      <c r="K188" s="4" t="n">
        <v>12.6</v>
      </c>
      <c r="L188" s="3" t="n">
        <v>0</v>
      </c>
      <c r="M188" s="5">
        <f>IF(MAX($J$2:$J$189)&lt;=0,0,LOG10(J188+1)/LOG10(MAX($J$2:$J$189)+1)*100)*$Q$2+IF(MAX($K$2:$K$189)&lt;=0,0,LOG10(K188+1)/LOG10(MAX($K$2:$K$189)+1)*100)*$Q$3+IF(MAX($F$2:$F$189)&lt;=0,0,LOG10(F188+1)/LOG10(MAX($F$2:$F$189)+1)*100)*$Q$4</f>
        <v/>
      </c>
      <c r="N188" s="6" t="n">
        <v>1.8</v>
      </c>
      <c r="O188" s="7" t="inlineStr">
        <is>
          <t>brak (surowiec końcowy / nie jest komponentem)</t>
        </is>
      </c>
      <c r="P188" s="3" t="inlineStr">
        <is>
          <t>N/A (Overframe wyłączony w config.py)</t>
        </is>
      </c>
      <c r="Q188" s="3" t="inlineStr">
        <is>
          <t>Brak opisu w WFCD - sprawdź ręcznie: https://wiki.warframe.com/w/Virtuos_Surge</t>
        </is>
      </c>
      <c r="R188" s="3" t="inlineStr">
        <is>
          <t>2026-07-26 14:33</t>
        </is>
      </c>
    </row>
    <row r="189">
      <c r="A189" s="3" t="n">
        <v>188</v>
      </c>
      <c r="B189" s="3" t="inlineStr">
        <is>
          <t>Virtuos Null</t>
        </is>
      </c>
      <c r="C189" s="3" t="inlineStr">
        <is>
          <t>Arcanes</t>
        </is>
      </c>
      <c r="D189" s="4" t="n">
        <v>15</v>
      </c>
      <c r="E189" s="4" t="n">
        <v>22.8</v>
      </c>
      <c r="F189" s="3" t="n">
        <v>3</v>
      </c>
      <c r="G189" s="3" t="n">
        <v>14</v>
      </c>
      <c r="H189" s="3" t="n">
        <v>1</v>
      </c>
      <c r="I189" s="3" t="n">
        <v>2.21</v>
      </c>
      <c r="J189" s="3" t="n">
        <v>1</v>
      </c>
      <c r="K189" s="4" t="n">
        <v>22.8</v>
      </c>
      <c r="L189" s="3" t="n">
        <v>0</v>
      </c>
      <c r="M189" s="5">
        <f>IF(MAX($J$2:$J$189)&lt;=0,0,LOG10(J189+1)/LOG10(MAX($J$2:$J$189)+1)*100)*$Q$2+IF(MAX($K$2:$K$189)&lt;=0,0,LOG10(K189+1)/LOG10(MAX($K$2:$K$189)+1)*100)*$Q$3+IF(MAX($F$2:$F$189)&lt;=0,0,LOG10(F189+1)/LOG10(MAX($F$2:$F$189)+1)*100)*$Q$4</f>
        <v/>
      </c>
      <c r="N189" s="6" t="n">
        <v>3.26</v>
      </c>
      <c r="O189" s="7" t="inlineStr">
        <is>
          <t>brak (surowiec końcowy / nie jest komponentem)</t>
        </is>
      </c>
      <c r="P189" s="3" t="inlineStr">
        <is>
          <t>N/A (Overframe wyłączony w config.py)</t>
        </is>
      </c>
      <c r="Q189" s="3" t="inlineStr">
        <is>
          <t>Brak opisu w WFCD - sprawdź ręcznie: https://wiki.warframe.com/w/Virtuos_Null</t>
        </is>
      </c>
      <c r="R189" s="3" t="inlineStr">
        <is>
          <t>2026-07-26 14:33</t>
        </is>
      </c>
    </row>
    <row r="192">
      <c r="A192" s="11" t="inlineStr">
        <is>
          <t>Legenda:</t>
        </is>
      </c>
    </row>
    <row r="193">
      <c r="A193" s="12" t="inlineStr">
        <is>
          <t>Niebieski tekst = dane wejściowe z warframe.market / WFCD warframe-items (nadpisywane przy każdym uruchomieniu main.py)</t>
        </is>
      </c>
    </row>
    <row r="194">
      <c r="A194" s="12" t="inlineStr">
        <is>
          <t>Czarny tekst = formuła Excela (Market Demand Index liczy się na żywo z kolumn J/K/F i wag w Q2:Q4)</t>
        </is>
      </c>
    </row>
    <row r="195">
      <c r="A195" s="12" t="inlineStr">
        <is>
          <t>Żółte komórki (Q2:Q4) = wagi Market Demand Index - możesz je zmienić ręcznie w Excelu, indeks przeliczy się automatycznie</t>
        </is>
      </c>
    </row>
    <row r="196">
      <c r="A196" s="12" t="inlineStr">
        <is>
          <t>Overframe Usage = eksperymentalny sygnał z overframe.gg, wyłączony domyślnie (patrz README.md)</t>
        </is>
      </c>
    </row>
    <row r="197">
      <c r="A197" s="12" t="inlineStr">
        <is>
          <t>Grind Efficiency (plat/min) to przybliżony wskaźnik oparty na średniej cenie oraz czasie grindowania z WFCD; traktuj jako orientacyjny.</t>
        </is>
      </c>
    </row>
    <row r="198">
      <c r="A198" s="12" t="inlineStr">
        <is>
          <t>Arkusz zawiera tylko przedmioty tradowalne z warframe.market.</t>
        </is>
      </c>
    </row>
  </sheetData>
  <conditionalFormatting sqref="M2:M18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Demand Tracker - Market Demand Index</dc:title>
  <dc:subject>Warframe demand tracker</dc:subject>
  <dcterms:created xsi:type="dcterms:W3CDTF">2026-07-26T12:33:07Z</dcterms:created>
  <dcterms:modified xsi:type="dcterms:W3CDTF">2026-07-26T12:33:07Z</dcterms:modified>
</cp:coreProperties>
</file>
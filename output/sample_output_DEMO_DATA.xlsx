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mand Track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<sst xmlns="http://schemas.openxmlformats.org/spreadsheetml/2006/main" count="43" uniqueCount="37">
  <si>
    <t xml:space="preserve">Item</t>
  </si>
  <si>
    <t xml:space="preserve">Category</t>
  </si>
  <si>
    <t xml:space="preserve">Lowest Sell (plat)</t>
  </si>
  <si>
    <t xml:space="preserve">Avg Top5 Sell (plat)</t>
  </si>
  <si>
    <t xml:space="preserve">Buy Orders Count</t>
  </si>
  <si>
    <t xml:space="preserve">Sell Orders Count</t>
  </si>
  <si>
    <t xml:space="preserve">Volume 48h</t>
  </si>
  <si>
    <t xml:space="preserve">Volume 90d avg/day</t>
  </si>
  <si>
    <t xml:space="preserve">Crafting Uses Count</t>
  </si>
  <si>
    <t xml:space="preserve">Demand Score</t>
  </si>
  <si>
    <t xml:space="preserve">Used In (Crafting)</t>
  </si>
  <si>
    <t xml:space="preserve">Overframe Usage</t>
  </si>
  <si>
    <t xml:space="preserve">Acquisition Note</t>
  </si>
  <si>
    <t xml:space="preserve">Last Updated</t>
  </si>
  <si>
    <t xml:space="preserve">Wagi Demand Score</t>
  </si>
  <si>
    <t xml:space="preserve">Orokin Cell</t>
  </si>
  <si>
    <t xml:space="preserve">Misc</t>
  </si>
  <si>
    <t xml:space="preserve">&lt;Archwing&gt; Odonata Prime, Acceltra Prime, Afentis Prime, Afuris, Akbolto</t>
  </si>
  <si>
    <t xml:space="preserve">N/A (test)</t>
  </si>
  <si>
    <t xml:space="preserve">Ancient energy cell from the Orokin era. | Location: Ceres, Saturn, and Deimos</t>
  </si>
  <si>
    <t xml:space="preserve">2026-07-26 07:26</t>
  </si>
  <si>
    <t xml:space="preserve">Buy Orders</t>
  </si>
  <si>
    <t xml:space="preserve">Neurodes</t>
  </si>
  <si>
    <t xml:space="preserve">&lt;Archwing&gt; Onorix, &lt;Archwing&gt; Veritux, Acceltra, Akarius, Akvasto Forest-Camo Skin</t>
  </si>
  <si>
    <t xml:space="preserve">Biotech sensor organ harvested from Infested entities. | Location: Earth, Lua, Eris, and Deimos</t>
  </si>
  <si>
    <t xml:space="preserve">Ash Prime Systems</t>
  </si>
  <si>
    <t xml:space="preserve">Warframes</t>
  </si>
  <si>
    <t xml:space="preserve">Ash Prime</t>
  </si>
  <si>
    <t xml:space="preserve">Relikty: Neo N5 (Radiant, Uncommon, 20%); Vanguard C1 (Radiant, Uncommon, 20%); Neo N5 (Flawless, Uncommon, 17%)</t>
  </si>
  <si>
    <t xml:space="preserve">Volume 90d avg</t>
  </si>
  <si>
    <t xml:space="preserve">Crafting Uses</t>
  </si>
  <si>
    <t xml:space="preserve">Suma wag (powinno = 1.00)</t>
  </si>
  <si>
    <t xml:space="preserve">Legenda:</t>
  </si>
  <si>
    <t xml:space="preserve">Niebieski tekst = dane wejściowe z warframe.market / WFCD warframe-items (nadpisywane przy każdym uruchomieniu main.py)</t>
  </si>
  <si>
    <t xml:space="preserve">Czarny tekst = formuła Excela (Demand Score liczy się na żywo z kolumn E/G/H/I i wag w Q2:Q5)</t>
  </si>
  <si>
    <t xml:space="preserve">Żółte komórki (Q2:Q5) = wagi Demand Score - możesz je zmienić ręcznie w Excelu, score przeliczy się automatycznie</t>
  </si>
  <si>
    <t xml:space="preserve">Overframe Usage = eksperymentalny sygnał z overframe.gg, wyłączony domyślnie (patrz README.md)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</si>
</sst>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\p"/>
    <numFmt numFmtId="166" formatCode="0.0"/>
    <numFmt numFmtId="167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7" min="7" style="0" width="12"/>
    <col collapsed="false" customWidth="true" hidden="false" outlineLevel="0" max="9" min="8" style="0" width="16"/>
    <col collapsed="false" customWidth="true" hidden="false" outlineLevel="0" max="10" min="10" style="0" width="13"/>
    <col collapsed="false" customWidth="true" hidden="false" outlineLevel="0" max="11" min="11" style="0" width="40"/>
    <col collapsed="false" customWidth="true" hidden="false" outlineLevel="0" max="12" min="12" style="0" width="20"/>
    <col collapsed="false" customWidth="true" hidden="false" outlineLevel="0" max="13" min="13" style="0" width="55"/>
    <col collapsed="false" customWidth="true" hidden="false" outlineLevel="0" max="14" min="14" style="0" width="18"/>
    <col collapsed="false" customWidth="true" hidden="false" outlineLevel="0" max="16" min="16" style="0" width="20"/>
    <col collapsed="false" customWidth="true" hidden="false" outlineLevel="0" max="17" min="17" style="0" width="1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2" t="s">
        <v>14</v>
      </c>
    </row>
    <row r="2" customFormat="false" ht="23.85" hidden="false" customHeight="false" outlineLevel="0" collapsed="false">
      <c r="A2" s="3" t="s">
        <v>15</v>
      </c>
      <c r="B2" s="3" t="s">
        <v>16</v>
      </c>
      <c r="C2" s="4" t="n">
        <v>12</v>
      </c>
      <c r="D2" s="4" t="n">
        <v>13.4</v>
      </c>
      <c r="E2" s="3" t="n">
        <v>45</v>
      </c>
      <c r="F2" s="3" t="n">
        <v>120</v>
      </c>
      <c r="G2" s="3" t="n">
        <v>300</v>
      </c>
      <c r="H2" s="3" t="n">
        <v>250</v>
      </c>
      <c r="I2" s="3" t="n">
        <v>334</v>
      </c>
      <c r="J2" s="5" t="n">
        <f aca="false">((E2-MIN($E$2:$E$4))/MAX(MAX($E$2:$E$4)-MIN($E$2:$E$4),0.0001)*100)*$Q$2+((G2-MIN($G$2:$G$4))/MAX(MAX($G$2:$G$4)-MIN($G$2:$G$4),0.0001)*100)*$Q$3+((H2-MIN($H$2:$H$4))/MAX(MAX($H$2:$H$4)-MIN($H$2:$H$4),0.0001)*100)*$Q$4+((I2-MIN($I$2:$I$4))/MAX(MAX($I$2:$I$4)-MIN($I$2:$I$4),0.0001)*100)*$Q$5</f>
        <v>100</v>
      </c>
      <c r="K2" s="6" t="s">
        <v>17</v>
      </c>
      <c r="L2" s="3" t="s">
        <v>18</v>
      </c>
      <c r="M2" s="6" t="s">
        <v>19</v>
      </c>
      <c r="N2" s="3" t="s">
        <v>20</v>
      </c>
      <c r="P2" s="7" t="s">
        <v>21</v>
      </c>
      <c r="Q2" s="8" t="n">
        <v>0.35</v>
      </c>
    </row>
    <row r="3" customFormat="false" ht="23.85" hidden="false" customHeight="false" outlineLevel="0" collapsed="false">
      <c r="A3" s="3" t="s">
        <v>22</v>
      </c>
      <c r="B3" s="3" t="s">
        <v>16</v>
      </c>
      <c r="C3" s="4" t="n">
        <v>8</v>
      </c>
      <c r="D3" s="4" t="n">
        <v>9.2</v>
      </c>
      <c r="E3" s="3" t="n">
        <v>12</v>
      </c>
      <c r="F3" s="3" t="n">
        <v>40</v>
      </c>
      <c r="G3" s="3" t="n">
        <v>80</v>
      </c>
      <c r="H3" s="3" t="n">
        <v>60</v>
      </c>
      <c r="I3" s="3" t="n">
        <v>115</v>
      </c>
      <c r="J3" s="5" t="n">
        <f aca="false">((E3-MIN($E$2:$E$4))/MAX(MAX($E$2:$E$4)-MIN($E$2:$E$4),0.0001)*100)*$Q$2+((G3-MIN($G$2:$G$4))/MAX(MAX($G$2:$G$4)-MIN($G$2:$G$4),0.0001)*100)*$Q$3+((H3-MIN($H$2:$H$4))/MAX(MAX($H$2:$H$4)-MIN($H$2:$H$4),0.0001)*100)*$Q$4+((I3-MIN($I$2:$I$4))/MAX(MAX($I$2:$I$4)-MIN($I$2:$I$4),0.0001)*100)*$Q$5</f>
        <v>5.13513513513514</v>
      </c>
      <c r="K3" s="6" t="s">
        <v>23</v>
      </c>
      <c r="L3" s="3" t="s">
        <v>18</v>
      </c>
      <c r="M3" s="6" t="s">
        <v>24</v>
      </c>
      <c r="N3" s="3" t="s">
        <v>20</v>
      </c>
      <c r="P3" s="7" t="s">
        <v>6</v>
      </c>
      <c r="Q3" s="8" t="n">
        <v>0.3</v>
      </c>
    </row>
    <row r="4" customFormat="false" ht="23.85" hidden="false" customHeight="false" outlineLevel="0" collapsed="false">
      <c r="A4" s="3" t="s">
        <v>25</v>
      </c>
      <c r="B4" s="3" t="s">
        <v>26</v>
      </c>
      <c r="C4" s="4" t="n">
        <v>25</v>
      </c>
      <c r="D4" s="4" t="n">
        <v>27</v>
      </c>
      <c r="E4" s="3" t="n">
        <v>30</v>
      </c>
      <c r="F4" s="3" t="n">
        <v>90</v>
      </c>
      <c r="G4" s="3" t="n">
        <v>200</v>
      </c>
      <c r="H4" s="3" t="n">
        <v>180</v>
      </c>
      <c r="I4" s="3" t="n">
        <v>1</v>
      </c>
      <c r="J4" s="5" t="n">
        <f aca="false">((E4-MIN($E$2:$E$4))/MAX(MAX($E$2:$E$4)-MIN($E$2:$E$4),0.0001)*100)*$Q$2+((G4-MIN($G$2:$G$4))/MAX(MAX($G$2:$G$4)-MIN($G$2:$G$4),0.0001)*100)*$Q$3+((H4-MIN($H$2:$H$4))/MAX(MAX($H$2:$H$4)-MIN($H$2:$H$4),0.0001)*100)*$Q$4+((I4-MIN($I$2:$I$4))/MAX(MAX($I$2:$I$4)-MIN($I$2:$I$4),0.0001)*100)*$Q$5</f>
        <v>48.0861244019139</v>
      </c>
      <c r="K4" s="6" t="s">
        <v>27</v>
      </c>
      <c r="L4" s="3" t="s">
        <v>18</v>
      </c>
      <c r="M4" s="6" t="s">
        <v>28</v>
      </c>
      <c r="N4" s="3" t="s">
        <v>20</v>
      </c>
      <c r="P4" s="7" t="s">
        <v>29</v>
      </c>
      <c r="Q4" s="8" t="n">
        <v>0.2</v>
      </c>
    </row>
    <row r="5" customFormat="false" ht="15" hidden="false" customHeight="false" outlineLevel="0" collapsed="false">
      <c r="P5" s="7" t="s">
        <v>30</v>
      </c>
      <c r="Q5" s="8" t="n">
        <v>0.15</v>
      </c>
    </row>
    <row r="6" customFormat="false" ht="15" hidden="false" customHeight="false" outlineLevel="0" collapsed="false">
      <c r="P6" s="9" t="s">
        <v>31</v>
      </c>
      <c r="Q6" s="7" t="n">
        <f aca="false">SUM(Q2:Q5)</f>
        <v>1</v>
      </c>
    </row>
    <row r="7" customFormat="false" ht="15" hidden="false" customHeight="false" outlineLevel="0" collapsed="false">
      <c r="A7" s="10" t="s">
        <v>32</v>
      </c>
    </row>
    <row r="8" customFormat="false" ht="15" hidden="false" customHeight="false" outlineLevel="0" collapsed="false">
      <c r="A8" s="9" t="s">
        <v>33</v>
      </c>
    </row>
    <row r="9" customFormat="false" ht="15" hidden="false" customHeight="false" outlineLevel="0" collapsed="false">
      <c r="A9" s="9" t="s">
        <v>34</v>
      </c>
    </row>
    <row r="10" customFormat="false" ht="15" hidden="false" customHeight="false" outlineLevel="0" collapsed="false">
      <c r="A10" s="9" t="s">
        <v>35</v>
      </c>
    </row>
    <row r="11" customFormat="false" ht="15" hidden="false" customHeight="false" outlineLevel="0" collapsed="false">
      <c r="A11" s="9" t="s">
        <v>36</v>
      </c>
    </row>
  </sheetData>
  <conditionalFormatting sqref="J2:J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2026-07-26T07:26:44Z</dcterms:created>
  <dc:creator>openpyxl</dc:creator>
  <dc:description/>
  <dc:language>en-US</dc:language>
  <cp:lastModifiedBy/>
  <dcterms:modified xsi:type="dcterms:W3CDTF">2026-07-26T07:26:44Z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